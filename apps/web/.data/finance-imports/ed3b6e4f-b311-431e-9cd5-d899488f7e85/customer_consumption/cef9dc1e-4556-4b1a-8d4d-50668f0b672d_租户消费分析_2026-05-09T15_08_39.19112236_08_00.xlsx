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 activeTab="3"/>
  </bookViews>
  <sheets>
    <sheet name="Sheet3" sheetId="4" r:id="rId1"/>
    <sheet name="C端用户汇总" sheetId="11" r:id="rId2"/>
    <sheet name="Sheet12" sheetId="13" r:id="rId3"/>
    <sheet name="查询结果" sheetId="1" r:id="rId4"/>
    <sheet name="Sheet7" sheetId="8" r:id="rId5"/>
    <sheet name="裸金属订单" sheetId="9" r:id="rId6"/>
  </sheets>
  <definedNames>
    <definedName name="_xlnm._FilterDatabase" localSheetId="3" hidden="1">查询结果!$B$1:$J$1231</definedName>
    <definedName name="_xlnm._FilterDatabase" localSheetId="4" hidden="1">Sheet7!$A$1:$G$46</definedName>
  </definedNames>
  <calcPr calcId="191029"/>
  <pivotCaches>
    <pivotCache cacheId="0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<sst xmlns="http://schemas.openxmlformats.org/spreadsheetml/2006/main" count="7544" uniqueCount="875">
  <si>
    <t>客户名</t>
  </si>
  <si>
    <t>租户ID</t>
  </si>
  <si>
    <t>求和项:券消费</t>
  </si>
  <si>
    <t>求和项:余额消费</t>
  </si>
  <si>
    <t>求和项:总消费</t>
  </si>
  <si>
    <t>面壁智能数据处理弹性算力项目</t>
  </si>
  <si>
    <t>984</t>
  </si>
  <si>
    <t>总计</t>
  </si>
  <si>
    <t>行标签</t>
  </si>
  <si>
    <t>1002</t>
  </si>
  <si>
    <t>(空白)</t>
  </si>
  <si>
    <t>10100</t>
  </si>
  <si>
    <t>10131</t>
  </si>
  <si>
    <t>10188</t>
  </si>
  <si>
    <t>广州边际文化传媒有限公司</t>
  </si>
  <si>
    <t>10201</t>
  </si>
  <si>
    <t>10426</t>
  </si>
  <si>
    <t>10576</t>
  </si>
  <si>
    <t>10583</t>
  </si>
  <si>
    <t>10610</t>
  </si>
  <si>
    <t>清北智源</t>
  </si>
  <si>
    <t>10634</t>
  </si>
  <si>
    <t>10676</t>
  </si>
  <si>
    <t>10685</t>
  </si>
  <si>
    <t>10712</t>
  </si>
  <si>
    <t>10716</t>
  </si>
  <si>
    <t>10723</t>
  </si>
  <si>
    <t>10734</t>
  </si>
  <si>
    <t>10737</t>
  </si>
  <si>
    <t>10784</t>
  </si>
  <si>
    <t>10813</t>
  </si>
  <si>
    <t>1082</t>
  </si>
  <si>
    <t>10836</t>
  </si>
  <si>
    <t>哈尔滨工业大学</t>
  </si>
  <si>
    <t>1084</t>
  </si>
  <si>
    <t>10861</t>
  </si>
  <si>
    <t>10869</t>
  </si>
  <si>
    <t>10925</t>
  </si>
  <si>
    <t>11009</t>
  </si>
  <si>
    <t>11088</t>
  </si>
  <si>
    <t>11101</t>
  </si>
  <si>
    <t>11185</t>
  </si>
  <si>
    <t>11225</t>
  </si>
  <si>
    <t>11241</t>
  </si>
  <si>
    <t>上海心舆</t>
  </si>
  <si>
    <t>11319</t>
  </si>
  <si>
    <t>央视频</t>
  </si>
  <si>
    <t>11392</t>
  </si>
  <si>
    <t>11493</t>
  </si>
  <si>
    <t>11510</t>
  </si>
  <si>
    <t>11520</t>
  </si>
  <si>
    <t>11522</t>
  </si>
  <si>
    <t>11527</t>
  </si>
  <si>
    <t>11549</t>
  </si>
  <si>
    <t>11666</t>
  </si>
  <si>
    <t>11679</t>
  </si>
  <si>
    <t>灵予科技</t>
  </si>
  <si>
    <t>11694</t>
  </si>
  <si>
    <t>11706</t>
  </si>
  <si>
    <t>11765</t>
  </si>
  <si>
    <t>11770</t>
  </si>
  <si>
    <t>11813</t>
  </si>
  <si>
    <t>11815</t>
  </si>
  <si>
    <t>11816</t>
  </si>
  <si>
    <t>11837</t>
  </si>
  <si>
    <t>11888</t>
  </si>
  <si>
    <t>11922</t>
  </si>
  <si>
    <t>11960</t>
  </si>
  <si>
    <t>扬州无界矩阵科技有限公司</t>
  </si>
  <si>
    <t>11980</t>
  </si>
  <si>
    <t>1202</t>
  </si>
  <si>
    <t>12074</t>
  </si>
  <si>
    <t>12099</t>
  </si>
  <si>
    <t>12122</t>
  </si>
  <si>
    <t>12143</t>
  </si>
  <si>
    <t>12206</t>
  </si>
  <si>
    <t>12252</t>
  </si>
  <si>
    <t>12274</t>
  </si>
  <si>
    <t>12306</t>
  </si>
  <si>
    <t>12307</t>
  </si>
  <si>
    <t>12326</t>
  </si>
  <si>
    <t>12343</t>
  </si>
  <si>
    <t>12351</t>
  </si>
  <si>
    <t>12353</t>
  </si>
  <si>
    <t>12371</t>
  </si>
  <si>
    <t>12396</t>
  </si>
  <si>
    <t>12397</t>
  </si>
  <si>
    <t>12402</t>
  </si>
  <si>
    <t>12413</t>
  </si>
  <si>
    <t>12416</t>
  </si>
  <si>
    <t>12435</t>
  </si>
  <si>
    <t>12475</t>
  </si>
  <si>
    <t>12488</t>
  </si>
  <si>
    <t>12536</t>
  </si>
  <si>
    <t>12552</t>
  </si>
  <si>
    <t>12655</t>
  </si>
  <si>
    <t>12658</t>
  </si>
  <si>
    <t>12663</t>
  </si>
  <si>
    <t>12669</t>
  </si>
  <si>
    <t>12689</t>
  </si>
  <si>
    <t>12714</t>
  </si>
  <si>
    <t>12715</t>
  </si>
  <si>
    <t>12724</t>
  </si>
  <si>
    <t>兰天游账号</t>
  </si>
  <si>
    <t>12744</t>
  </si>
  <si>
    <t>12755</t>
  </si>
  <si>
    <t>12767</t>
  </si>
  <si>
    <t>武汉火燚网络科技有限公司</t>
  </si>
  <si>
    <t>12781</t>
  </si>
  <si>
    <t>12806</t>
  </si>
  <si>
    <t>12822</t>
  </si>
  <si>
    <t>12846</t>
  </si>
  <si>
    <t>12848</t>
  </si>
  <si>
    <t>12854</t>
  </si>
  <si>
    <t>12888</t>
  </si>
  <si>
    <t>12892</t>
  </si>
  <si>
    <t>12896</t>
  </si>
  <si>
    <t>12898</t>
  </si>
  <si>
    <t>12902</t>
  </si>
  <si>
    <t>12907</t>
  </si>
  <si>
    <t>12920</t>
  </si>
  <si>
    <t>12932</t>
  </si>
  <si>
    <t>12960</t>
  </si>
  <si>
    <t>12987</t>
  </si>
  <si>
    <t>13007</t>
  </si>
  <si>
    <t>13013</t>
  </si>
  <si>
    <t>13043</t>
  </si>
  <si>
    <t>13064</t>
  </si>
  <si>
    <t>13075</t>
  </si>
  <si>
    <t>13087</t>
  </si>
  <si>
    <t>13090</t>
  </si>
  <si>
    <t>13103</t>
  </si>
  <si>
    <t>13111</t>
  </si>
  <si>
    <t>13119</t>
  </si>
  <si>
    <t>13144</t>
  </si>
  <si>
    <t>13168</t>
  </si>
  <si>
    <t>13171</t>
  </si>
  <si>
    <t>13194</t>
  </si>
  <si>
    <t>13225</t>
  </si>
  <si>
    <t>方寸跃迁(雄安)科技有限公司</t>
  </si>
  <si>
    <t>13243</t>
  </si>
  <si>
    <t>13251</t>
  </si>
  <si>
    <t>13252</t>
  </si>
  <si>
    <t>13259</t>
  </si>
  <si>
    <t>13262</t>
  </si>
  <si>
    <t>13276</t>
  </si>
  <si>
    <t>13294</t>
  </si>
  <si>
    <t>13303</t>
  </si>
  <si>
    <t>13306</t>
  </si>
  <si>
    <t>13327</t>
  </si>
  <si>
    <t>13328</t>
  </si>
  <si>
    <t>13335</t>
  </si>
  <si>
    <t>13339</t>
  </si>
  <si>
    <t>13342</t>
  </si>
  <si>
    <t>13343</t>
  </si>
  <si>
    <t>13365</t>
  </si>
  <si>
    <t>13371</t>
  </si>
  <si>
    <t>13381</t>
  </si>
  <si>
    <t>13383</t>
  </si>
  <si>
    <t>13411</t>
  </si>
  <si>
    <t>13420</t>
  </si>
  <si>
    <t>13423</t>
  </si>
  <si>
    <t>13438</t>
  </si>
  <si>
    <t>13456</t>
  </si>
  <si>
    <t>13463</t>
  </si>
  <si>
    <t>13489</t>
  </si>
  <si>
    <t>13490</t>
  </si>
  <si>
    <t>13523</t>
  </si>
  <si>
    <t>13532</t>
  </si>
  <si>
    <t>Jerry</t>
  </si>
  <si>
    <t>13536</t>
  </si>
  <si>
    <t>大连理工大学</t>
  </si>
  <si>
    <t>13546</t>
  </si>
  <si>
    <t>影溯科技</t>
  </si>
  <si>
    <t>13559</t>
  </si>
  <si>
    <t>13576</t>
  </si>
  <si>
    <t>13582</t>
  </si>
  <si>
    <t>13585</t>
  </si>
  <si>
    <t>13592</t>
  </si>
  <si>
    <t>13597</t>
  </si>
  <si>
    <t>13600</t>
  </si>
  <si>
    <t>13613</t>
  </si>
  <si>
    <t>13614</t>
  </si>
  <si>
    <t>13616</t>
  </si>
  <si>
    <t>13617</t>
  </si>
  <si>
    <t>13623</t>
  </si>
  <si>
    <t>13627</t>
  </si>
  <si>
    <t>13629</t>
  </si>
  <si>
    <t>13676</t>
  </si>
  <si>
    <t>1368</t>
  </si>
  <si>
    <t>13685</t>
  </si>
  <si>
    <t>13687</t>
  </si>
  <si>
    <t>13688</t>
  </si>
  <si>
    <t>13715</t>
  </si>
  <si>
    <t>13788</t>
  </si>
  <si>
    <t>13794</t>
  </si>
  <si>
    <t>13812</t>
  </si>
  <si>
    <t>13815</t>
  </si>
  <si>
    <t>13820</t>
  </si>
  <si>
    <t>13824</t>
  </si>
  <si>
    <t>13830</t>
  </si>
  <si>
    <t>13838</t>
  </si>
  <si>
    <t>13854</t>
  </si>
  <si>
    <t>13864</t>
  </si>
  <si>
    <t>13877</t>
  </si>
  <si>
    <t>13885</t>
  </si>
  <si>
    <t>13903</t>
  </si>
  <si>
    <t>13919</t>
  </si>
  <si>
    <t>13920</t>
  </si>
  <si>
    <t>13930</t>
  </si>
  <si>
    <t>13948</t>
  </si>
  <si>
    <t>13949</t>
  </si>
  <si>
    <t>13960</t>
  </si>
  <si>
    <t>13971</t>
  </si>
  <si>
    <t>13974</t>
  </si>
  <si>
    <t>13975</t>
  </si>
  <si>
    <t>13998</t>
  </si>
  <si>
    <t>14001</t>
  </si>
  <si>
    <t>14007</t>
  </si>
  <si>
    <t>14008</t>
  </si>
  <si>
    <t>14017</t>
  </si>
  <si>
    <t>14023</t>
  </si>
  <si>
    <t>14030</t>
  </si>
  <si>
    <t>14035</t>
  </si>
  <si>
    <t>14047</t>
  </si>
  <si>
    <t>14057</t>
  </si>
  <si>
    <t>14059</t>
  </si>
  <si>
    <t>14062</t>
  </si>
  <si>
    <t>万格-YifeiWu</t>
  </si>
  <si>
    <t>14063</t>
  </si>
  <si>
    <t>14066</t>
  </si>
  <si>
    <t>14068</t>
  </si>
  <si>
    <t>14088</t>
  </si>
  <si>
    <t>14093</t>
  </si>
  <si>
    <t>14101</t>
  </si>
  <si>
    <t>14116</t>
  </si>
  <si>
    <t>14121</t>
  </si>
  <si>
    <t>14127</t>
  </si>
  <si>
    <t>14133</t>
  </si>
  <si>
    <t>14145</t>
  </si>
  <si>
    <t>14155</t>
  </si>
  <si>
    <t>14159</t>
  </si>
  <si>
    <t>14160</t>
  </si>
  <si>
    <t>14166</t>
  </si>
  <si>
    <t>14183</t>
  </si>
  <si>
    <t>14184</t>
  </si>
  <si>
    <t>14186</t>
  </si>
  <si>
    <t>南京OPC社区</t>
  </si>
  <si>
    <t>14188</t>
  </si>
  <si>
    <t>14192</t>
  </si>
  <si>
    <t>14197</t>
  </si>
  <si>
    <t>14201</t>
  </si>
  <si>
    <t>14202</t>
  </si>
  <si>
    <t>14208</t>
  </si>
  <si>
    <t>14209</t>
  </si>
  <si>
    <t>14221</t>
  </si>
  <si>
    <t>14222</t>
  </si>
  <si>
    <t>14228</t>
  </si>
  <si>
    <t>14242</t>
  </si>
  <si>
    <t>14243</t>
  </si>
  <si>
    <t>14257</t>
  </si>
  <si>
    <t>14263</t>
  </si>
  <si>
    <t>14272</t>
  </si>
  <si>
    <t>14276</t>
  </si>
  <si>
    <t>14277</t>
  </si>
  <si>
    <t>14291</t>
  </si>
  <si>
    <t>国利新安平台测试</t>
  </si>
  <si>
    <t>14302</t>
  </si>
  <si>
    <t>14305</t>
  </si>
  <si>
    <t>14310</t>
  </si>
  <si>
    <t>14314</t>
  </si>
  <si>
    <t>14323</t>
  </si>
  <si>
    <t>北京智源深澜</t>
  </si>
  <si>
    <t>14334</t>
  </si>
  <si>
    <t>14337</t>
  </si>
  <si>
    <t>14345</t>
  </si>
  <si>
    <t>14346</t>
  </si>
  <si>
    <t>14351</t>
  </si>
  <si>
    <t>14353</t>
  </si>
  <si>
    <t>14356</t>
  </si>
  <si>
    <t>14357</t>
  </si>
  <si>
    <t>14364</t>
  </si>
  <si>
    <t>14369</t>
  </si>
  <si>
    <t>14371</t>
  </si>
  <si>
    <t>14379</t>
  </si>
  <si>
    <t>14383</t>
  </si>
  <si>
    <t>14395</t>
  </si>
  <si>
    <t>14398</t>
  </si>
  <si>
    <t>14401</t>
  </si>
  <si>
    <t>14408</t>
  </si>
  <si>
    <t>14417</t>
  </si>
  <si>
    <t>14418</t>
  </si>
  <si>
    <t>14421</t>
  </si>
  <si>
    <t>14426</t>
  </si>
  <si>
    <t>14431</t>
  </si>
  <si>
    <t>14433</t>
  </si>
  <si>
    <t>14452</t>
  </si>
  <si>
    <t>14458</t>
  </si>
  <si>
    <t>14462</t>
  </si>
  <si>
    <t>14463</t>
  </si>
  <si>
    <t>14467</t>
  </si>
  <si>
    <t>14471</t>
  </si>
  <si>
    <t>14472</t>
  </si>
  <si>
    <t>14485</t>
  </si>
  <si>
    <t>14491</t>
  </si>
  <si>
    <t>14493</t>
  </si>
  <si>
    <t>14506</t>
  </si>
  <si>
    <t>14515</t>
  </si>
  <si>
    <t>14518</t>
  </si>
  <si>
    <t>14528</t>
  </si>
  <si>
    <t>14537</t>
  </si>
  <si>
    <t>14542</t>
  </si>
  <si>
    <t>14548</t>
  </si>
  <si>
    <t>14550</t>
  </si>
  <si>
    <t>14564</t>
  </si>
  <si>
    <t>14568</t>
  </si>
  <si>
    <t>14580</t>
  </si>
  <si>
    <t>14586</t>
  </si>
  <si>
    <t>14592</t>
  </si>
  <si>
    <t>14596</t>
  </si>
  <si>
    <t>14599</t>
  </si>
  <si>
    <t>14629</t>
  </si>
  <si>
    <t>14632</t>
  </si>
  <si>
    <t>14633</t>
  </si>
  <si>
    <t>14642</t>
  </si>
  <si>
    <t>14650</t>
  </si>
  <si>
    <t>14654</t>
  </si>
  <si>
    <t>14656</t>
  </si>
  <si>
    <t>14661</t>
  </si>
  <si>
    <t>14667</t>
  </si>
  <si>
    <t>14672</t>
  </si>
  <si>
    <t>14680</t>
  </si>
  <si>
    <t>14692</t>
  </si>
  <si>
    <t>14698</t>
  </si>
  <si>
    <t>14706</t>
  </si>
  <si>
    <t>14707</t>
  </si>
  <si>
    <t>14713</t>
  </si>
  <si>
    <t>14721</t>
  </si>
  <si>
    <t>14730</t>
  </si>
  <si>
    <t>14733</t>
  </si>
  <si>
    <t>14736</t>
  </si>
  <si>
    <t>14737</t>
  </si>
  <si>
    <t>14743</t>
  </si>
  <si>
    <t>14745</t>
  </si>
  <si>
    <t>14754</t>
  </si>
  <si>
    <t>14757</t>
  </si>
  <si>
    <t>14773</t>
  </si>
  <si>
    <t>14783</t>
  </si>
  <si>
    <t>14784</t>
  </si>
  <si>
    <t>14787</t>
  </si>
  <si>
    <t>14789</t>
  </si>
  <si>
    <t>14791</t>
  </si>
  <si>
    <t>14793</t>
  </si>
  <si>
    <t>14807</t>
  </si>
  <si>
    <t>14816</t>
  </si>
  <si>
    <t>14824</t>
  </si>
  <si>
    <t>14825</t>
  </si>
  <si>
    <t>14838</t>
  </si>
  <si>
    <t>14851</t>
  </si>
  <si>
    <t>14859</t>
  </si>
  <si>
    <t>14880</t>
  </si>
  <si>
    <t>14886</t>
  </si>
  <si>
    <t>14890</t>
  </si>
  <si>
    <t>14900</t>
  </si>
  <si>
    <t>14906</t>
  </si>
  <si>
    <t>14910</t>
  </si>
  <si>
    <t>14916</t>
  </si>
  <si>
    <t>14920</t>
  </si>
  <si>
    <t>14925</t>
  </si>
  <si>
    <t>14937</t>
  </si>
  <si>
    <t>14938</t>
  </si>
  <si>
    <t>14942</t>
  </si>
  <si>
    <t>14943</t>
  </si>
  <si>
    <t>14959</t>
  </si>
  <si>
    <t>14969</t>
  </si>
  <si>
    <t>14977</t>
  </si>
  <si>
    <t>14988</t>
  </si>
  <si>
    <t>14997</t>
  </si>
  <si>
    <t>15005</t>
  </si>
  <si>
    <t>15006</t>
  </si>
  <si>
    <t>15007</t>
  </si>
  <si>
    <t>15012</t>
  </si>
  <si>
    <t>15018</t>
  </si>
  <si>
    <t>15021</t>
  </si>
  <si>
    <t>15032</t>
  </si>
  <si>
    <t>15040</t>
  </si>
  <si>
    <t>15041</t>
  </si>
  <si>
    <t>15042</t>
  </si>
  <si>
    <t>15052</t>
  </si>
  <si>
    <t>OriginFlow</t>
  </si>
  <si>
    <t>15068</t>
  </si>
  <si>
    <t>15070</t>
  </si>
  <si>
    <t>15071</t>
  </si>
  <si>
    <t>15076</t>
  </si>
  <si>
    <t>15078</t>
  </si>
  <si>
    <t>15091</t>
  </si>
  <si>
    <t>15092</t>
  </si>
  <si>
    <t>15093</t>
  </si>
  <si>
    <t>15101</t>
  </si>
  <si>
    <t>15113</t>
  </si>
  <si>
    <t>15118</t>
  </si>
  <si>
    <t>15133</t>
  </si>
  <si>
    <t>15135</t>
  </si>
  <si>
    <t>15148</t>
  </si>
  <si>
    <t>蚂蚁工厂</t>
  </si>
  <si>
    <t>15158</t>
  </si>
  <si>
    <t>15159</t>
  </si>
  <si>
    <t>15165</t>
  </si>
  <si>
    <t>15172</t>
  </si>
  <si>
    <t>15182</t>
  </si>
  <si>
    <t>15187</t>
  </si>
  <si>
    <t>15188</t>
  </si>
  <si>
    <t>15194</t>
  </si>
  <si>
    <t>15203</t>
  </si>
  <si>
    <t>15206</t>
  </si>
  <si>
    <t>15208</t>
  </si>
  <si>
    <t>15210</t>
  </si>
  <si>
    <t>15218</t>
  </si>
  <si>
    <t>即时设计</t>
  </si>
  <si>
    <t>15224</t>
  </si>
  <si>
    <t>15225</t>
  </si>
  <si>
    <t>15228</t>
  </si>
  <si>
    <t>15229</t>
  </si>
  <si>
    <t>15234</t>
  </si>
  <si>
    <t>15245</t>
  </si>
  <si>
    <t>15264</t>
  </si>
  <si>
    <t>15265</t>
  </si>
  <si>
    <t>15267</t>
  </si>
  <si>
    <t>15269</t>
  </si>
  <si>
    <t>15274</t>
  </si>
  <si>
    <t>15275</t>
  </si>
  <si>
    <t>15280</t>
  </si>
  <si>
    <t>15287</t>
  </si>
  <si>
    <t>15300</t>
  </si>
  <si>
    <t>15302</t>
  </si>
  <si>
    <t>15304</t>
  </si>
  <si>
    <t>15314</t>
  </si>
  <si>
    <t>15317</t>
  </si>
  <si>
    <t>15319</t>
  </si>
  <si>
    <t>15320</t>
  </si>
  <si>
    <t>15328</t>
  </si>
  <si>
    <t>1533</t>
  </si>
  <si>
    <t>15340</t>
  </si>
  <si>
    <t>15350</t>
  </si>
  <si>
    <t>15352</t>
  </si>
  <si>
    <t>15359</t>
  </si>
  <si>
    <t>15368</t>
  </si>
  <si>
    <t>15380</t>
  </si>
  <si>
    <t>15403</t>
  </si>
  <si>
    <t>15411</t>
  </si>
  <si>
    <t>15421</t>
  </si>
  <si>
    <t>15427</t>
  </si>
  <si>
    <t>15476</t>
  </si>
  <si>
    <t>15497</t>
  </si>
  <si>
    <t>15498</t>
  </si>
  <si>
    <t>15503</t>
  </si>
  <si>
    <t>15511</t>
  </si>
  <si>
    <t>15521</t>
  </si>
  <si>
    <t>15530</t>
  </si>
  <si>
    <t>15554</t>
  </si>
  <si>
    <t>1557</t>
  </si>
  <si>
    <t>1560</t>
  </si>
  <si>
    <t>1572</t>
  </si>
  <si>
    <t>1574</t>
  </si>
  <si>
    <t>1577</t>
  </si>
  <si>
    <t>1581</t>
  </si>
  <si>
    <t>1584</t>
  </si>
  <si>
    <t>1710</t>
  </si>
  <si>
    <t>1714</t>
  </si>
  <si>
    <t>1717</t>
  </si>
  <si>
    <t>1736</t>
  </si>
  <si>
    <t>1881</t>
  </si>
  <si>
    <t>1891</t>
  </si>
  <si>
    <t>190</t>
  </si>
  <si>
    <t>2002</t>
  </si>
  <si>
    <t>2039</t>
  </si>
  <si>
    <t>守扣科技</t>
  </si>
  <si>
    <t>2067</t>
  </si>
  <si>
    <t>209</t>
  </si>
  <si>
    <t>210</t>
  </si>
  <si>
    <t>2160</t>
  </si>
  <si>
    <t>2198</t>
  </si>
  <si>
    <t>华智未来</t>
  </si>
  <si>
    <t>2234</t>
  </si>
  <si>
    <t>2264</t>
  </si>
  <si>
    <t>2265</t>
  </si>
  <si>
    <t>2282</t>
  </si>
  <si>
    <t>2334</t>
  </si>
  <si>
    <t>245</t>
  </si>
  <si>
    <t>2513</t>
  </si>
  <si>
    <t>2537</t>
  </si>
  <si>
    <t>奇绩训练</t>
  </si>
  <si>
    <t>259</t>
  </si>
  <si>
    <t>264</t>
  </si>
  <si>
    <t>2658</t>
  </si>
  <si>
    <t>2666</t>
  </si>
  <si>
    <t>2691</t>
  </si>
  <si>
    <t>2737</t>
  </si>
  <si>
    <t>2739</t>
  </si>
  <si>
    <t>2773</t>
  </si>
  <si>
    <t>2792</t>
  </si>
  <si>
    <t>2822</t>
  </si>
  <si>
    <t>2877</t>
  </si>
  <si>
    <t>290</t>
  </si>
  <si>
    <t>2911</t>
  </si>
  <si>
    <t>2943</t>
  </si>
  <si>
    <t>2947</t>
  </si>
  <si>
    <t>2957</t>
  </si>
  <si>
    <t>2969</t>
  </si>
  <si>
    <t>2979</t>
  </si>
  <si>
    <t>2995</t>
  </si>
  <si>
    <t>中国人民大学</t>
  </si>
  <si>
    <t>3002</t>
  </si>
  <si>
    <t>3018</t>
  </si>
  <si>
    <t>kiri</t>
  </si>
  <si>
    <t>3020</t>
  </si>
  <si>
    <t>3030</t>
  </si>
  <si>
    <t>空间漫步小号</t>
  </si>
  <si>
    <t>308</t>
  </si>
  <si>
    <t>3137</t>
  </si>
  <si>
    <t>3138</t>
  </si>
  <si>
    <t>316</t>
  </si>
  <si>
    <t>3171</t>
  </si>
  <si>
    <t>3201</t>
  </si>
  <si>
    <t>3203</t>
  </si>
  <si>
    <t>3270</t>
  </si>
  <si>
    <t>3300</t>
  </si>
  <si>
    <t>334</t>
  </si>
  <si>
    <t>338</t>
  </si>
  <si>
    <t>vast</t>
  </si>
  <si>
    <t>3459</t>
  </si>
  <si>
    <t>3474</t>
  </si>
  <si>
    <t>3483</t>
  </si>
  <si>
    <t>3544</t>
  </si>
  <si>
    <t>355</t>
  </si>
  <si>
    <t>3593</t>
  </si>
  <si>
    <t>3654</t>
  </si>
  <si>
    <t>3815</t>
  </si>
  <si>
    <t>3868</t>
  </si>
  <si>
    <t>3975</t>
  </si>
  <si>
    <t>3983</t>
  </si>
  <si>
    <t>4135</t>
  </si>
  <si>
    <t>4200</t>
  </si>
  <si>
    <t>4233</t>
  </si>
  <si>
    <t>4246</t>
  </si>
  <si>
    <t>4472</t>
  </si>
  <si>
    <t>4520</t>
  </si>
  <si>
    <t>4558</t>
  </si>
  <si>
    <t>4559</t>
  </si>
  <si>
    <t>456</t>
  </si>
  <si>
    <t>4566</t>
  </si>
  <si>
    <t>4575</t>
  </si>
  <si>
    <t>4582</t>
  </si>
  <si>
    <t>4583</t>
  </si>
  <si>
    <t>liblibAI</t>
  </si>
  <si>
    <t>4596</t>
  </si>
  <si>
    <t>4608</t>
  </si>
  <si>
    <t>4610</t>
  </si>
  <si>
    <t>4637</t>
  </si>
  <si>
    <t>4644</t>
  </si>
  <si>
    <t>4657</t>
  </si>
  <si>
    <t>4661</t>
  </si>
  <si>
    <t>467</t>
  </si>
  <si>
    <t>塔普TAP</t>
  </si>
  <si>
    <t>4768</t>
  </si>
  <si>
    <t>4796</t>
  </si>
  <si>
    <t>483</t>
  </si>
  <si>
    <t>4842</t>
  </si>
  <si>
    <t>4861</t>
  </si>
  <si>
    <t>4863</t>
  </si>
  <si>
    <t>4881</t>
  </si>
  <si>
    <t>4907</t>
  </si>
  <si>
    <t>深圳大学</t>
  </si>
  <si>
    <t>4913</t>
  </si>
  <si>
    <t>4917</t>
  </si>
  <si>
    <t>4927</t>
  </si>
  <si>
    <t>495</t>
  </si>
  <si>
    <t>4960</t>
  </si>
  <si>
    <t>4962</t>
  </si>
  <si>
    <t>497</t>
  </si>
  <si>
    <t>空间漫步SpatialWalk</t>
  </si>
  <si>
    <t>4970</t>
  </si>
  <si>
    <t>4975</t>
  </si>
  <si>
    <t>4993</t>
  </si>
  <si>
    <t>5000</t>
  </si>
  <si>
    <t>5007</t>
  </si>
  <si>
    <t>504</t>
  </si>
  <si>
    <t>302</t>
  </si>
  <si>
    <t>5077</t>
  </si>
  <si>
    <t>如意AI</t>
  </si>
  <si>
    <t>512</t>
  </si>
  <si>
    <t>文旅打卡机-张宇</t>
  </si>
  <si>
    <t>5124</t>
  </si>
  <si>
    <t>5135</t>
  </si>
  <si>
    <t>捷宇科技H20项目</t>
  </si>
  <si>
    <t>5136</t>
  </si>
  <si>
    <t>5150</t>
  </si>
  <si>
    <t>5184</t>
  </si>
  <si>
    <t>5187</t>
  </si>
  <si>
    <t>5208</t>
  </si>
  <si>
    <t>5212</t>
  </si>
  <si>
    <t>5216</t>
  </si>
  <si>
    <t>5223</t>
  </si>
  <si>
    <t>5224</t>
  </si>
  <si>
    <t>5328</t>
  </si>
  <si>
    <t>5349</t>
  </si>
  <si>
    <t>5361</t>
  </si>
  <si>
    <t>5364</t>
  </si>
  <si>
    <t>5370</t>
  </si>
  <si>
    <t>5389</t>
  </si>
  <si>
    <t>5410</t>
  </si>
  <si>
    <t>清华大学</t>
  </si>
  <si>
    <t>5412</t>
  </si>
  <si>
    <t>5418</t>
  </si>
  <si>
    <t>5500</t>
  </si>
  <si>
    <t>5509</t>
  </si>
  <si>
    <t>5526</t>
  </si>
  <si>
    <t>灵心科技H20项目</t>
  </si>
  <si>
    <t>5531</t>
  </si>
  <si>
    <t>5543</t>
  </si>
  <si>
    <t>5582</t>
  </si>
  <si>
    <t>5583</t>
  </si>
  <si>
    <t>5659</t>
  </si>
  <si>
    <t>深势科技</t>
  </si>
  <si>
    <t>5684</t>
  </si>
  <si>
    <t>5688</t>
  </si>
  <si>
    <t>宽谷信息技术服务有限公司</t>
  </si>
  <si>
    <t>5761</t>
  </si>
  <si>
    <t>5803</t>
  </si>
  <si>
    <t>5825</t>
  </si>
  <si>
    <t>5829</t>
  </si>
  <si>
    <t>5866</t>
  </si>
  <si>
    <t>5876</t>
  </si>
  <si>
    <t>5897</t>
  </si>
  <si>
    <t>5901</t>
  </si>
  <si>
    <t>5903</t>
  </si>
  <si>
    <t>5922</t>
  </si>
  <si>
    <t>5933</t>
  </si>
  <si>
    <t>5934</t>
  </si>
  <si>
    <t>5950</t>
  </si>
  <si>
    <t>5959</t>
  </si>
  <si>
    <t>5972</t>
  </si>
  <si>
    <t>6005</t>
  </si>
  <si>
    <t>6011</t>
  </si>
  <si>
    <t>6041</t>
  </si>
  <si>
    <t>6046</t>
  </si>
  <si>
    <t>613</t>
  </si>
  <si>
    <t>6135</t>
  </si>
  <si>
    <t>6159</t>
  </si>
  <si>
    <t>彭英瑞（Sass产品特定账号）</t>
  </si>
  <si>
    <t>6188</t>
  </si>
  <si>
    <t>6215</t>
  </si>
  <si>
    <t>623</t>
  </si>
  <si>
    <t>634</t>
  </si>
  <si>
    <t>6367</t>
  </si>
  <si>
    <t>6451</t>
  </si>
  <si>
    <t>6477</t>
  </si>
  <si>
    <t>6484</t>
  </si>
  <si>
    <t>6486</t>
  </si>
  <si>
    <t>649</t>
  </si>
  <si>
    <t>6503</t>
  </si>
  <si>
    <t>6552</t>
  </si>
  <si>
    <t>6554</t>
  </si>
  <si>
    <t>6597</t>
  </si>
  <si>
    <t>6632</t>
  </si>
  <si>
    <t>6638</t>
  </si>
  <si>
    <t>6660</t>
  </si>
  <si>
    <t>6663</t>
  </si>
  <si>
    <t>6697</t>
  </si>
  <si>
    <t>6709</t>
  </si>
  <si>
    <t>6722</t>
  </si>
  <si>
    <t>西安多普多</t>
  </si>
  <si>
    <t>6775</t>
  </si>
  <si>
    <t>6784</t>
  </si>
  <si>
    <t>6841</t>
  </si>
  <si>
    <t>6847</t>
  </si>
  <si>
    <t>691</t>
  </si>
  <si>
    <t>6921</t>
  </si>
  <si>
    <t>6925</t>
  </si>
  <si>
    <t>6955</t>
  </si>
  <si>
    <t>6975</t>
  </si>
  <si>
    <t>6990</t>
  </si>
  <si>
    <t>6997</t>
  </si>
  <si>
    <t>7064</t>
  </si>
  <si>
    <t>7069</t>
  </si>
  <si>
    <t>7073</t>
  </si>
  <si>
    <t>7088</t>
  </si>
  <si>
    <t>7097</t>
  </si>
  <si>
    <t>7106</t>
  </si>
  <si>
    <t>7112</t>
  </si>
  <si>
    <t>713</t>
  </si>
  <si>
    <t>714</t>
  </si>
  <si>
    <t>7194</t>
  </si>
  <si>
    <t>7219</t>
  </si>
  <si>
    <t>725</t>
  </si>
  <si>
    <t>7271</t>
  </si>
  <si>
    <t>7297</t>
  </si>
  <si>
    <t>7422</t>
  </si>
  <si>
    <t>7424</t>
  </si>
  <si>
    <t>7458</t>
  </si>
  <si>
    <t>749</t>
  </si>
  <si>
    <t>7507</t>
  </si>
  <si>
    <t>7516</t>
  </si>
  <si>
    <t>7530</t>
  </si>
  <si>
    <t>7533</t>
  </si>
  <si>
    <t>7534</t>
  </si>
  <si>
    <t>7559</t>
  </si>
  <si>
    <t>759</t>
  </si>
  <si>
    <t>7596</t>
  </si>
  <si>
    <t>761</t>
  </si>
  <si>
    <t>7641</t>
  </si>
  <si>
    <t>7646</t>
  </si>
  <si>
    <t>7715</t>
  </si>
  <si>
    <t>775</t>
  </si>
  <si>
    <t>7769</t>
  </si>
  <si>
    <t>kiri弹性账号</t>
  </si>
  <si>
    <t>7775</t>
  </si>
  <si>
    <t>7777</t>
  </si>
  <si>
    <t>779</t>
  </si>
  <si>
    <t>7797</t>
  </si>
  <si>
    <t>杭州麟云科技</t>
  </si>
  <si>
    <t>7803</t>
  </si>
  <si>
    <t>7805</t>
  </si>
  <si>
    <t>7810</t>
  </si>
  <si>
    <t>7829</t>
  </si>
  <si>
    <t>7844</t>
  </si>
  <si>
    <t>7846</t>
  </si>
  <si>
    <t>7848</t>
  </si>
  <si>
    <t>7855</t>
  </si>
  <si>
    <t>7863</t>
  </si>
  <si>
    <t>7869</t>
  </si>
  <si>
    <t>787</t>
  </si>
  <si>
    <t>7882</t>
  </si>
  <si>
    <t>7901</t>
  </si>
  <si>
    <t>7902</t>
  </si>
  <si>
    <t>7903</t>
  </si>
  <si>
    <t>7908</t>
  </si>
  <si>
    <t>7959</t>
  </si>
  <si>
    <t>7978</t>
  </si>
  <si>
    <t>7979</t>
  </si>
  <si>
    <t>800</t>
  </si>
  <si>
    <t>8009</t>
  </si>
  <si>
    <t>8031</t>
  </si>
  <si>
    <t>8061</t>
  </si>
  <si>
    <t>8074</t>
  </si>
  <si>
    <t>8080</t>
  </si>
  <si>
    <t>8094</t>
  </si>
  <si>
    <t>8108</t>
  </si>
  <si>
    <t>蓝舰信息科技南京有限公司</t>
  </si>
  <si>
    <t>8114</t>
  </si>
  <si>
    <t>8138</t>
  </si>
  <si>
    <t>8146</t>
  </si>
  <si>
    <t>8148</t>
  </si>
  <si>
    <t>8194</t>
  </si>
  <si>
    <t>8206</t>
  </si>
  <si>
    <t>8250</t>
  </si>
  <si>
    <t>8257</t>
  </si>
  <si>
    <t>8285</t>
  </si>
  <si>
    <t>8302</t>
  </si>
  <si>
    <t>8308</t>
  </si>
  <si>
    <t>8329</t>
  </si>
  <si>
    <t>8346</t>
  </si>
  <si>
    <t>8405</t>
  </si>
  <si>
    <t>白泽汇智</t>
  </si>
  <si>
    <t>8414</t>
  </si>
  <si>
    <t>8445</t>
  </si>
  <si>
    <t>8449</t>
  </si>
  <si>
    <t>845</t>
  </si>
  <si>
    <t>深智科技(广州一见)算力项目</t>
  </si>
  <si>
    <t>8472</t>
  </si>
  <si>
    <t>8525</t>
  </si>
  <si>
    <t>8531</t>
  </si>
  <si>
    <t>8589</t>
  </si>
  <si>
    <t>8669</t>
  </si>
  <si>
    <t>8725</t>
  </si>
  <si>
    <t>8787</t>
  </si>
  <si>
    <t>8794</t>
  </si>
  <si>
    <t>8795</t>
  </si>
  <si>
    <t>8801</t>
  </si>
  <si>
    <t>8806</t>
  </si>
  <si>
    <t>8840</t>
  </si>
  <si>
    <t>8860</t>
  </si>
  <si>
    <t>8893</t>
  </si>
  <si>
    <t>8899</t>
  </si>
  <si>
    <t>891</t>
  </si>
  <si>
    <t>8946</t>
  </si>
  <si>
    <t>9018</t>
  </si>
  <si>
    <t>9021</t>
  </si>
  <si>
    <t>9069</t>
  </si>
  <si>
    <t>9073</t>
  </si>
  <si>
    <t>9124</t>
  </si>
  <si>
    <t>9148</t>
  </si>
  <si>
    <t>9159</t>
  </si>
  <si>
    <t>9201</t>
  </si>
  <si>
    <t>9204</t>
  </si>
  <si>
    <t>9222</t>
  </si>
  <si>
    <t>9226</t>
  </si>
  <si>
    <t>9227</t>
  </si>
  <si>
    <t>9254</t>
  </si>
  <si>
    <t>9255</t>
  </si>
  <si>
    <t>9259</t>
  </si>
  <si>
    <t>9339</t>
  </si>
  <si>
    <t>9343</t>
  </si>
  <si>
    <t>9362</t>
  </si>
  <si>
    <t>DAWNECXE</t>
  </si>
  <si>
    <t>940</t>
  </si>
  <si>
    <t>942</t>
  </si>
  <si>
    <t>9480</t>
  </si>
  <si>
    <t>9501</t>
  </si>
  <si>
    <t>9554</t>
  </si>
  <si>
    <t>9557</t>
  </si>
  <si>
    <t>北京中烟创新科技有限公司</t>
  </si>
  <si>
    <t>9598</t>
  </si>
  <si>
    <t>9599</t>
  </si>
  <si>
    <t>9619</t>
  </si>
  <si>
    <t>9703</t>
  </si>
  <si>
    <t>9795</t>
  </si>
  <si>
    <t>9799</t>
  </si>
  <si>
    <t>9801</t>
  </si>
  <si>
    <t>类型</t>
  </si>
  <si>
    <t>租户类型</t>
  </si>
  <si>
    <t>客户类型</t>
  </si>
  <si>
    <t>总消费</t>
  </si>
  <si>
    <t>券消费</t>
  </si>
  <si>
    <t>余额消费</t>
  </si>
  <si>
    <t>状态</t>
  </si>
  <si>
    <t>弹性服务部署</t>
  </si>
  <si>
    <t>外部</t>
  </si>
  <si>
    <t>B端</t>
  </si>
  <si>
    <t>云主机</t>
  </si>
  <si>
    <t>C端</t>
  </si>
  <si>
    <t>Other</t>
  </si>
  <si>
    <t>对象存储加速</t>
  </si>
  <si>
    <t>共享存储卷</t>
  </si>
  <si>
    <t>镜像仓库</t>
  </si>
  <si>
    <t>项目名称</t>
  </si>
  <si>
    <t>客户全称</t>
  </si>
  <si>
    <t>补充消费</t>
  </si>
  <si>
    <t>线上裸金属消费</t>
  </si>
  <si>
    <t>标签</t>
  </si>
  <si>
    <t>面壁4090-48G预留资源包</t>
  </si>
  <si>
    <t>北京面壁智能科技有限责任公司</t>
  </si>
  <si>
    <t>中台直客</t>
  </si>
  <si>
    <t>麒砺创新(香港)有限公司</t>
  </si>
  <si>
    <t>平台老客</t>
  </si>
  <si>
    <t>北京奇点星宇科技有限公司</t>
  </si>
  <si>
    <t xml:space="preserve">空间漫步科技（深圳）有限公司 </t>
  </si>
  <si>
    <t>面壁5090裸金属短租</t>
  </si>
  <si>
    <t>北京哇嘶嗒科技有限公司</t>
  </si>
  <si>
    <t>北京厚笃科技有限公司</t>
  </si>
  <si>
    <t>销售新客</t>
  </si>
  <si>
    <t>北京渊澈太初智能科技有限公司</t>
  </si>
  <si>
    <t>厦门尚耐科技有限公司</t>
  </si>
  <si>
    <t>深圳市塔普智能科技有限公司</t>
  </si>
  <si>
    <t>白泽汇智(北京)科技有限公司</t>
  </si>
  <si>
    <t>合肥灵心科技有限公司</t>
  </si>
  <si>
    <t>北京智源深澜科技有限公司</t>
  </si>
  <si>
    <t>广州一见服饰科技有限公司</t>
  </si>
  <si>
    <t>整数智能</t>
  </si>
  <si>
    <t>整数智能信息技术（杭州）有限责任公司</t>
  </si>
  <si>
    <t>江苏云浦科技发展有限公司</t>
  </si>
  <si>
    <r>
      <rPr>
        <sz val="11"/>
        <color theme="1"/>
        <rFont val="DengXian"/>
        <charset val="134"/>
      </rPr>
      <t>深圳市秀狐科技有限公司</t>
    </r>
    <r>
      <rPr>
        <sz val="9"/>
        <color rgb="FF515151"/>
        <rFont val="Helvetica"/>
        <charset val="134"/>
      </rPr>
      <t> </t>
    </r>
  </si>
  <si>
    <t>西安多普多信息科技有限公司</t>
  </si>
  <si>
    <t>北京清北智源科技有限公司</t>
  </si>
  <si>
    <t>DAWNECXE INNOVATION PTE. LTD.</t>
  </si>
  <si>
    <t>上海守扣科技有限公司</t>
  </si>
  <si>
    <t>上海影溯智能科技有限公司</t>
  </si>
  <si>
    <t>华智未来（重庆）科技有限公司</t>
  </si>
  <si>
    <t>上海心舆技术有限公司</t>
  </si>
  <si>
    <t>浙江国利信安科技有限公司</t>
  </si>
  <si>
    <t>订单金额</t>
  </si>
  <si>
    <t>14829 汇总</t>
  </si>
  <si>
    <t>544 汇总</t>
  </si>
  <si>
    <t>6159 汇总</t>
  </si>
  <si>
    <t>14062 汇总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</si>
</sst>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6" formatCode="&quot;￥&quot;#,##0;[Red]&quot;￥&quot;\-#,##0"/>
    <numFmt numFmtId="7" formatCode="&quot;￥&quot;#,##0.00;&quot;￥&quot;\-#,##0.00"/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##"/>
  </numFmts>
  <fonts count="28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i/>
      <sz val="11"/>
      <color theme="1"/>
      <name val="宋体"/>
      <charset val="134"/>
      <scheme val="minor"/>
    </font>
    <font>
      <b/>
      <i/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DengXian"/>
      <charset val="134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9"/>
      <color rgb="FF515151"/>
      <name val="Helvetica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29"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8" fontId="2" fillId="0" borderId="0" xfId="0" applyNumberFormat="1" applyFont="1">
      <alignment vertical="center"/>
    </xf>
    <xf numFmtId="0" fontId="3" fillId="0" borderId="0" xfId="0" applyFont="1">
      <alignment vertical="center"/>
    </xf>
    <xf numFmtId="8" fontId="1" fillId="0" borderId="0" xfId="0" applyNumberFormat="1" applyFont="1">
      <alignment vertical="center"/>
    </xf>
    <xf numFmtId="0" fontId="4" fillId="0" borderId="0" xfId="0" applyFont="1">
      <alignment vertical="center"/>
    </xf>
    <xf numFmtId="6" fontId="1" fillId="0" borderId="0" xfId="0" applyNumberFormat="1" applyFont="1">
      <alignment vertical="center"/>
    </xf>
    <xf numFmtId="0" fontId="0" fillId="0" borderId="0" xfId="0" applyFont="1" applyAlignment="1">
      <alignment vertical="center"/>
    </xf>
    <xf numFmtId="0" fontId="5" fillId="0" borderId="0" xfId="0" applyFont="1" applyFill="1" applyAlignment="1">
      <alignment vertical="center"/>
    </xf>
    <xf numFmtId="49" fontId="5" fillId="0" borderId="0" xfId="0" applyNumberFormat="1" applyFont="1" applyFill="1" applyAlignment="1">
      <alignment horizontal="left" vertical="center"/>
    </xf>
    <xf numFmtId="8" fontId="5" fillId="0" borderId="0" xfId="0" applyNumberFormat="1" applyFont="1" applyFill="1" applyAlignment="1">
      <alignment vertical="center"/>
    </xf>
    <xf numFmtId="8" fontId="5" fillId="2" borderId="0" xfId="0" applyNumberFormat="1" applyFont="1" applyFill="1" applyAlignment="1">
      <alignment vertical="center"/>
    </xf>
    <xf numFmtId="8" fontId="0" fillId="0" borderId="0" xfId="0" applyNumberFormat="1" applyFont="1" applyAlignment="1">
      <alignment vertical="center"/>
    </xf>
    <xf numFmtId="8" fontId="0" fillId="2" borderId="0" xfId="0" applyNumberFormat="1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0" fillId="0" borderId="0" xfId="0" applyFont="1" applyAlignment="1">
      <alignment horizontal="left" vertical="center"/>
    </xf>
    <xf numFmtId="49" fontId="0" fillId="0" borderId="0" xfId="0" applyNumberFormat="1" applyFont="1" applyAlignment="1">
      <alignment vertical="center"/>
    </xf>
    <xf numFmtId="7" fontId="0" fillId="0" borderId="0" xfId="0" applyNumberFormat="1" applyFont="1" applyAlignment="1">
      <alignment vertical="center"/>
    </xf>
    <xf numFmtId="7" fontId="1" fillId="0" borderId="0" xfId="0" applyNumberFormat="1" applyFont="1" applyAlignment="1">
      <alignment vertical="center"/>
    </xf>
    <xf numFmtId="7" fontId="0" fillId="2" borderId="0" xfId="0" applyNumberFormat="1" applyFont="1" applyFill="1" applyAlignment="1">
      <alignment vertical="center"/>
    </xf>
    <xf numFmtId="8" fontId="6" fillId="0" borderId="0" xfId="0" applyNumberFormat="1" applyFont="1" applyAlignment="1">
      <alignment vertical="center"/>
    </xf>
    <xf numFmtId="8" fontId="6" fillId="2" borderId="0" xfId="0" applyNumberFormat="1" applyFont="1" applyFill="1" applyAlignment="1">
      <alignment vertical="center"/>
    </xf>
    <xf numFmtId="0" fontId="6" fillId="0" borderId="0" xfId="0" applyFont="1" applyAlignment="1">
      <alignment vertical="center"/>
    </xf>
    <xf numFmtId="8" fontId="7" fillId="0" borderId="0" xfId="0" applyNumberFormat="1" applyFont="1" applyAlignment="1">
      <alignment vertical="center"/>
    </xf>
    <xf numFmtId="49" fontId="6" fillId="0" borderId="0" xfId="0" applyNumberFormat="1" applyFont="1" applyAlignment="1">
      <alignment vertical="center"/>
    </xf>
    <xf numFmtId="176" fontId="0" fillId="0" borderId="0" xfId="0" applyNumberFormat="1" applyFont="1" applyAlignment="1"/>
    <xf numFmtId="3" fontId="0" fillId="0" borderId="0" xfId="0" applyNumberFormat="1" applyFont="1" applyAlignment="1"/>
    <xf numFmtId="0" fontId="0" fillId="0" borderId="0" xfId="0" applyFont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pivotCacheDefinition" Target="pivotCache/pivotCacheDefinition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51.8195138889" refreshedBy="docsi" recordCount="1230">
  <cacheSource type="worksheet">
    <worksheetSource ref="B1:J1231" sheet="查询结果"/>
  </cacheSource>
  <cacheFields count="9">
    <cacheField name="租户ID" numFmtId="0">
      <sharedItems count="763">
        <s v="984"/>
        <s v="4583"/>
        <s v="497"/>
        <s v="338"/>
        <s v="3030"/>
        <s v="12689"/>
        <s v="13688"/>
        <s v="6159"/>
        <s v="13629"/>
        <s v="5410"/>
        <s v="6367"/>
        <s v="12724"/>
        <s v="8148"/>
        <s v="504"/>
        <s v="14938"/>
        <s v="14276"/>
        <s v="467"/>
        <s v="12655"/>
        <s v="2658"/>
        <s v="12848"/>
        <s v="9557"/>
        <s v="8405"/>
        <s v="10188"/>
        <s v="14506"/>
        <s v="14277"/>
        <s v="13715"/>
        <s v="13616"/>
        <s v="14323"/>
        <s v="2739"/>
        <s v="14145"/>
        <s v="7769"/>
        <s v="8108"/>
        <s v="13794"/>
        <s v="845"/>
        <s v="13536"/>
        <s v="14791"/>
        <s v="7908"/>
        <s v="5526"/>
        <s v="9343"/>
        <s v="14346"/>
        <s v="14364"/>
        <s v="15304"/>
        <s v="14186"/>
        <s v="14925"/>
        <s v="13960"/>
        <s v="9501"/>
        <s v="14596"/>
        <s v="15032"/>
        <s v="14518"/>
        <s v="14101"/>
        <s v="14721"/>
        <s v="13949"/>
        <s v="15158"/>
        <s v="15274"/>
        <s v="14632"/>
        <s v="14257"/>
        <s v="13225"/>
        <s v="10576"/>
        <s v="14431"/>
        <s v="14418"/>
        <s v="14188"/>
        <s v="14787"/>
        <s v="13043"/>
        <s v="9795"/>
        <s v="9073"/>
        <s v="13627"/>
        <s v="14201"/>
        <s v="13532"/>
        <s v="5412"/>
        <s v="14825"/>
        <s v="14633"/>
        <s v="14401"/>
        <s v="13365"/>
        <s v="15092"/>
        <s v="11527"/>
        <s v="11770"/>
        <s v="15317"/>
        <s v="14730"/>
        <s v="14228"/>
        <s v="13171"/>
        <s v="14886"/>
        <s v="9339"/>
        <s v="13597"/>
        <s v="13383"/>
        <s v="14773"/>
        <s v="14654"/>
        <s v="12932"/>
        <s v="14351"/>
        <s v="15101"/>
        <s v="10712"/>
        <s v="11493"/>
        <s v="13490"/>
        <s v="14379"/>
        <s v="13371"/>
        <s v="2773"/>
        <s v="14537"/>
        <s v="8302"/>
        <s v="13820"/>
        <s v="9069"/>
        <s v="15511"/>
        <s v="15007"/>
        <s v="10925"/>
        <s v="14485"/>
        <s v="14305"/>
        <s v="12099"/>
        <s v="14824"/>
        <s v="13830"/>
        <s v="15320"/>
        <s v="2995"/>
        <s v="14550"/>
        <s v="14155"/>
        <s v="15275"/>
        <s v="15042"/>
        <s v="8946"/>
        <s v="2911"/>
        <s v="15206"/>
        <s v="12714"/>
        <s v="7810"/>
        <s v="5212"/>
        <s v="15093"/>
        <s v="245"/>
        <s v="12846"/>
        <s v="13243"/>
        <s v="8669"/>
        <s v="14433"/>
        <s v="14757"/>
        <s v="14629"/>
        <s v="14357"/>
        <s v="14066"/>
        <s v="13259"/>
        <s v="14334"/>
        <s v="12371"/>
        <s v="14680"/>
        <s v="6046"/>
        <s v="14159"/>
        <s v="13788"/>
        <s v="5389"/>
        <s v="634"/>
        <s v="15300"/>
        <s v="9598"/>
        <s v="10861"/>
        <s v="13489"/>
        <s v="512"/>
        <s v="15245"/>
        <s v="13903"/>
        <s v="8194"/>
        <s v="8806"/>
        <s v="12987"/>
        <s v="12715"/>
        <s v="14183"/>
        <s v="13144"/>
        <s v="3815"/>
        <s v="6722"/>
        <s v="10869"/>
        <s v="14068"/>
        <s v="14515"/>
        <s v="13411"/>
        <s v="787"/>
        <s v="12960"/>
        <s v="5688"/>
        <s v="15340"/>
        <s v="4970"/>
        <s v="12822"/>
        <s v="11960"/>
        <s v="10836"/>
        <s v="12663"/>
        <s v="15352"/>
        <s v="14208"/>
        <s v="13064"/>
        <s v="14542"/>
        <s v="14116"/>
        <s v="5866"/>
        <s v="14900"/>
        <s v="13119"/>
        <s v="14807"/>
        <s v="7959"/>
        <s v="11694"/>
        <s v="316"/>
        <s v="13252"/>
        <s v="14337"/>
        <s v="5000"/>
        <s v="15078"/>
        <s v="15403"/>
        <s v="483"/>
        <s v="13381"/>
        <s v="12767"/>
        <s v="13343"/>
        <s v="12888"/>
        <s v="4907"/>
        <s v="13420"/>
        <s v="14462"/>
        <s v="6975"/>
        <s v="14784"/>
        <s v="15225"/>
        <s v="9480"/>
        <s v="14493"/>
        <s v="1714"/>
        <s v="14706"/>
        <s v="14789"/>
        <s v="13262"/>
        <s v="8899"/>
        <s v="14017"/>
        <s v="7458"/>
        <s v="2666"/>
        <s v="14202"/>
        <s v="7533"/>
        <s v="7069"/>
        <s v="779"/>
        <s v="15228"/>
        <s v="12755"/>
        <s v="12353"/>
        <s v="2947"/>
        <s v="14472"/>
        <s v="14030"/>
        <s v="13948"/>
        <s v="7297"/>
        <s v="13339"/>
        <s v="14408"/>
        <s v="13600"/>
        <s v="12274"/>
        <s v="14937"/>
        <s v="1574"/>
        <s v="15210"/>
        <s v="12907"/>
        <s v="8308"/>
        <s v="12892"/>
        <s v="12206"/>
        <s v="12536"/>
        <s v="13075"/>
        <s v="14458"/>
        <s v="15287"/>
        <s v="7194"/>
        <s v="8094"/>
        <s v="8146"/>
        <s v="10610"/>
        <s v="7902"/>
        <s v="7106"/>
        <s v="210"/>
        <s v="14160"/>
        <s v="14851"/>
        <s v="5684"/>
        <s v="13687"/>
        <s v="6921"/>
        <s v="15135"/>
        <s v="14692"/>
        <s v="4975"/>
        <s v="6997"/>
        <s v="7979"/>
        <s v="14395"/>
        <s v="8206"/>
        <s v="7559"/>
        <s v="14023"/>
        <s v="1584"/>
        <s v="761"/>
        <s v="264"/>
        <s v="6554"/>
        <s v="15165"/>
        <s v="14371"/>
        <s v="12669"/>
        <s v="12143"/>
        <s v="15267"/>
        <s v="13998"/>
        <s v="13559"/>
        <s v="3171"/>
        <s v="12396"/>
        <s v="5950"/>
        <s v="14197"/>
        <s v="8329"/>
        <s v="14209"/>
        <s v="12475"/>
        <s v="613"/>
        <s v="15005"/>
        <s v="12122"/>
        <s v="12074"/>
        <s v="7855"/>
        <s v="9801"/>
        <s v="15188"/>
        <s v="6188"/>
        <s v="11816"/>
        <s v="14592"/>
        <s v="10201"/>
        <s v="15203"/>
        <s v="14793"/>
        <s v="13090"/>
        <s v="13087"/>
        <s v="14491"/>
        <s v="9204"/>
        <s v="11666"/>
        <s v="14736"/>
        <s v="2537"/>
        <s v="1560"/>
        <s v="14586"/>
        <s v="6041"/>
        <s v="13592"/>
        <s v="2334"/>
        <s v="14463"/>
        <s v="8250"/>
        <s v="7775"/>
        <s v="6135"/>
        <s v="12252"/>
        <s v="6632"/>
        <s v="11101"/>
        <s v="8787"/>
        <s v="5829"/>
        <s v="1082"/>
        <s v="4559"/>
        <s v="4608"/>
        <s v="11520"/>
        <s v="14580"/>
        <s v="12326"/>
        <s v="13585"/>
        <s v="14650"/>
        <s v="6784"/>
        <s v="14920"/>
        <s v="14548"/>
        <s v="8795"/>
        <s v="10100"/>
        <s v="10634"/>
        <s v="13303"/>
        <s v="5136"/>
        <s v="14528"/>
        <s v="12744"/>
        <s v="9362"/>
        <s v="7219"/>
        <s v="14063"/>
        <s v="5583"/>
        <s v="8589"/>
        <s v="2160"/>
        <s v="11765"/>
        <s v="4917"/>
        <s v="5364"/>
        <s v="13423"/>
        <s v="749"/>
        <s v="10734"/>
        <s v="5418"/>
        <s v="13617"/>
        <s v="5208"/>
        <s v="6955"/>
        <s v="2979"/>
        <s v="14221"/>
        <s v="1736"/>
        <s v="456"/>
        <s v="10426"/>
        <s v="5007"/>
        <s v="12306"/>
        <s v="14656"/>
        <s v="7534"/>
        <s v="6663"/>
        <s v="13251"/>
        <s v="12416"/>
        <s v="14242"/>
        <s v="13463"/>
        <s v="308"/>
        <s v="13194"/>
        <s v="8138"/>
        <s v="14943"/>
        <s v="14421"/>
        <s v="14733"/>
        <s v="3138"/>
        <s v="6484"/>
        <s v="9703"/>
        <s v="13342"/>
        <s v="8346"/>
        <s v="10131"/>
        <s v="2039"/>
        <s v="7863"/>
        <s v="714"/>
        <s v="12658"/>
        <s v="13546"/>
        <s v="14661"/>
        <s v="2737"/>
        <s v="14977"/>
        <s v="2198"/>
        <s v="800"/>
        <s v="12351"/>
        <s v="2943"/>
        <s v="14916"/>
        <s v="9254"/>
        <s v="8414"/>
        <s v="14062"/>
        <s v="7530"/>
        <s v="15113"/>
        <s v="12552"/>
        <s v="8114"/>
        <s v="14059"/>
        <s v="11888"/>
        <s v="713"/>
        <s v="7596"/>
        <s v="15302"/>
        <s v="8840"/>
        <s v="3137"/>
        <s v="13864"/>
        <s v="7803"/>
        <s v="9554"/>
        <s v="14471"/>
        <s v="15350"/>
        <s v="15172"/>
        <s v="2234"/>
        <s v="1202"/>
        <s v="7848"/>
        <s v="15427"/>
        <s v="759"/>
        <s v="5959"/>
        <s v="15012"/>
        <s v="14564"/>
        <s v="7844"/>
        <s v="5933"/>
        <s v="7903"/>
        <s v="5124"/>
        <s v="7846"/>
        <s v="8031"/>
        <s v="7646"/>
        <s v="5184"/>
        <s v="14642"/>
        <s v="11009"/>
        <s v="15498"/>
        <s v="14969"/>
        <s v="14426"/>
        <s v="11522"/>
        <s v="8801"/>
        <s v="13523"/>
        <s v="9259"/>
        <s v="7088"/>
        <s v="11185"/>
        <s v="2264"/>
        <s v="11980"/>
        <s v="9799"/>
        <s v="2792"/>
        <s v="12898"/>
        <s v="15194"/>
        <s v="355"/>
        <s v="8080"/>
        <s v="14467"/>
        <s v="11241"/>
        <s v="15052"/>
        <s v="4246"/>
        <s v="9599"/>
        <s v="7829"/>
        <s v="1577"/>
        <s v="4566"/>
        <s v="14783"/>
        <s v="15070"/>
        <s v="3203"/>
        <s v="7901"/>
        <s v="8257"/>
        <s v="15328"/>
        <s v="14737"/>
        <s v="1084"/>
        <s v="14291"/>
        <s v="12402"/>
        <s v="11706"/>
        <s v="9021"/>
        <s v="14369"/>
        <s v="14001"/>
        <s v="14007"/>
        <s v="15021"/>
        <s v="14452"/>
        <s v="4558"/>
        <s v="15229"/>
        <s v="14890"/>
        <s v="14417"/>
        <s v="495"/>
        <s v="334"/>
        <s v="2067"/>
        <s v="259"/>
        <s v="623"/>
        <s v="11088"/>
        <s v="6847"/>
        <s v="1002"/>
        <s v="2877"/>
        <s v="15187"/>
        <s v="14272"/>
        <s v="4881"/>
        <s v="15234"/>
        <s v="15133"/>
        <s v="12854"/>
        <s v="14127"/>
        <s v="6477"/>
        <s v="5582"/>
        <s v="9201"/>
        <s v="3270"/>
        <s v="7805"/>
        <s v="4993"/>
        <s v="6215"/>
        <s v="2969"/>
        <s v="6005"/>
        <s v="6709"/>
        <s v="209"/>
        <s v="5216"/>
        <s v="4927"/>
        <s v="942"/>
        <s v="7271"/>
        <s v="4861"/>
        <s v="3868"/>
        <s v="4135"/>
        <s v="7422"/>
        <s v="691"/>
        <s v="1368"/>
        <s v="7777"/>
        <s v="1533"/>
        <s v="3020"/>
        <s v="7978"/>
        <s v="6552"/>
        <s v="4863"/>
        <s v="5150"/>
        <s v="6011"/>
        <s v="4842"/>
        <s v="8061"/>
        <s v="2513"/>
        <s v="4200"/>
        <s v="5922"/>
        <s v="5224"/>
        <s v="6486"/>
        <s v="4962"/>
        <s v="8472"/>
        <s v="4644"/>
        <s v="3975"/>
        <s v="8074"/>
        <s v="4913"/>
        <s v="9222"/>
        <s v="7882"/>
        <s v="6775"/>
        <s v="7869"/>
        <s v="940"/>
        <s v="7424"/>
        <s v="6925"/>
        <s v="5500"/>
        <s v="6597"/>
        <s v="4575"/>
        <s v="4960"/>
        <s v="6660"/>
        <s v="3654"/>
        <s v="5187"/>
        <s v="6503"/>
        <s v="5543"/>
        <s v="4661"/>
        <s v="5825"/>
        <s v="5972"/>
        <s v="7112"/>
        <s v="3459"/>
        <s v="11225"/>
        <s v="4233"/>
        <s v="5903"/>
        <s v="3983"/>
        <s v="4472"/>
        <s v="8525"/>
        <s v="4520"/>
        <s v="5531"/>
        <s v="4610"/>
        <s v="6638"/>
        <s v="7507"/>
        <s v="3544"/>
        <s v="7516"/>
        <s v="5328"/>
        <s v="5223"/>
        <s v="2822"/>
        <s v="8794"/>
        <s v="5803"/>
        <s v="11837"/>
        <s v="14880"/>
        <s v="8725"/>
        <s v="9227"/>
        <s v="11815"/>
        <s v="12488"/>
        <s v="14345"/>
        <s v="14910"/>
        <s v="14314"/>
        <s v="14356"/>
        <s v="15041"/>
        <s v="15265"/>
        <s v="13685"/>
        <s v="13975"/>
        <s v="14906"/>
        <s v="14310"/>
        <s v="15040"/>
        <s v="8445"/>
        <s v="15319"/>
        <s v="5761"/>
        <s v="15269"/>
        <s v="15521"/>
        <s v="14713"/>
        <s v="14942"/>
        <s v="14599"/>
        <s v="14707"/>
        <s v="15280"/>
        <s v="14008"/>
        <s v="15159"/>
        <s v="9255"/>
        <s v="14568"/>
        <s v="11549"/>
        <s v="7715"/>
        <s v="5934"/>
        <s v="3593"/>
        <s v="14088"/>
        <s v="10685"/>
        <s v="14997"/>
        <s v="775"/>
        <s v="10716"/>
        <s v="1710"/>
        <s v="15380"/>
        <s v="7097"/>
        <s v="1581"/>
        <s v="4768"/>
        <s v="5901"/>
        <s v="13576"/>
        <s v="10784"/>
        <s v="9124"/>
        <s v="14667"/>
        <s v="15118"/>
        <s v="190"/>
        <s v="15530"/>
        <s v="2691"/>
        <s v="10676"/>
        <s v="10737"/>
        <s v="15208"/>
        <s v="14222"/>
        <s v="14988"/>
        <s v="13919"/>
        <s v="14093"/>
        <s v="14263"/>
        <s v="14133"/>
        <s v="14743"/>
        <s v="14121"/>
        <s v="725"/>
        <s v="1557"/>
        <s v="15018"/>
        <s v="14383"/>
        <s v="14859"/>
        <s v="14302"/>
        <s v="5370"/>
        <s v="14672"/>
        <s v="13614"/>
        <s v="15091"/>
        <s v="13276"/>
        <s v="15497"/>
        <s v="13013"/>
        <s v="4596"/>
        <s v="14754"/>
        <s v="13971"/>
        <s v="13974"/>
        <s v="8449"/>
        <s v="15554"/>
        <s v="15182"/>
        <s v="14745"/>
        <s v="14959"/>
        <s v="14698"/>
        <s v="10583"/>
        <s v="14047"/>
        <s v="13623"/>
        <s v="13812"/>
        <s v="8531"/>
        <s v="13815"/>
        <s v="9619"/>
        <s v="9018"/>
        <s v="10813"/>
        <s v="11813"/>
        <s v="5349"/>
        <s v="5897"/>
        <s v="1572"/>
        <s v="5077"/>
        <s v="14035"/>
        <s v="649"/>
        <s v="3201"/>
        <s v="891"/>
        <s v="13676"/>
        <s v="11922"/>
        <s v="10723"/>
        <s v="6990"/>
        <s v="7797"/>
        <s v="5659"/>
        <s v="11510"/>
        <s v="14057"/>
        <s v="15411"/>
        <s v="13103"/>
        <s v="5361"/>
        <s v="13168"/>
        <s v="9148"/>
        <s v="15076"/>
        <s v="13854"/>
        <s v="12343"/>
        <s v="3018"/>
        <s v="13111"/>
        <s v="13438"/>
        <s v="13877"/>
        <s v="14243"/>
        <s v="12896"/>
        <s v="13327"/>
        <s v="15264"/>
        <s v="15314"/>
        <s v="13824"/>
        <s v="13328"/>
        <s v="8860"/>
        <s v="13007"/>
        <s v="4582"/>
        <s v="5135"/>
        <s v="6841"/>
        <s v="15476"/>
        <s v="4637"/>
        <s v="14816"/>
        <s v="15071"/>
        <s v="15224"/>
        <s v="4796"/>
        <s v="15359"/>
        <s v="9226"/>
        <s v="13885"/>
        <s v="1717"/>
        <s v="3474"/>
        <s v="4657"/>
        <s v="6451"/>
        <s v="11679"/>
        <s v="7641"/>
        <s v="13306"/>
        <s v="15006"/>
        <s v="14184"/>
        <s v="8009"/>
        <s v="2265"/>
        <s v="14398"/>
        <s v="12920"/>
        <s v="14166"/>
        <s v="13613"/>
        <s v="14192"/>
        <s v="13930"/>
        <s v="8893"/>
        <s v="15421"/>
        <s v="11319"/>
        <s v="15148"/>
        <s v="2282"/>
        <s v="9159"/>
        <s v="5509"/>
        <s v="5876"/>
        <s v="12397"/>
        <s v="12307"/>
        <s v="13838"/>
        <s v="15368"/>
        <s v="11392"/>
        <s v="290"/>
        <s v="6697"/>
        <s v="12806"/>
        <s v="15068"/>
        <s v="13294"/>
        <s v="3300"/>
        <s v="1881"/>
        <s v="2002"/>
        <s v="7064"/>
        <s v="15503"/>
        <s v="13582"/>
        <s v="12435"/>
        <s v="13335"/>
        <s v="12413"/>
        <s v="12781"/>
        <s v="13920"/>
        <s v="2957"/>
        <s v="14838"/>
        <s v="8285"/>
        <s v="7073"/>
        <s v="12902"/>
        <s v="3002"/>
        <s v="13456"/>
        <s v="14353"/>
        <s v="3483"/>
        <s v="1891"/>
        <s v="15218"/>
        <s v="总计" u="1"/>
      </sharedItems>
    </cacheField>
    <cacheField name="类型" numFmtId="0">
      <sharedItems count="6">
        <s v="弹性服务部署"/>
        <s v="云主机"/>
        <s v="Other"/>
        <s v="对象存储加速"/>
        <s v="共享存储卷"/>
        <s v="镜像仓库"/>
      </sharedItems>
    </cacheField>
    <cacheField name="租户类型" numFmtId="0">
      <sharedItems count="1">
        <s v="外部"/>
      </sharedItems>
    </cacheField>
    <cacheField name="客户类型" numFmtId="0">
      <sharedItems count="2">
        <s v="B端"/>
        <s v="C端"/>
      </sharedItems>
    </cacheField>
    <cacheField name="客户名" numFmtId="0">
      <sharedItems containsBlank="1" count="50">
        <s v="面壁智能数据处理弹性算力项目"/>
        <s v="liblibAI"/>
        <s v="空间漫步SpatialWalk"/>
        <s v="vast"/>
        <s v="空间漫步小号"/>
        <m/>
        <s v="彭英瑞（Sass产品特定账号）"/>
        <s v="清华大学"/>
        <s v="兰天游账号"/>
        <s v="302"/>
        <s v="塔普TAP"/>
        <s v="北京中烟创新科技有限公司"/>
        <s v="白泽汇智"/>
        <s v="广州边际文化传媒有限公司"/>
        <s v="北京智源深澜"/>
        <s v="kiri弹性账号"/>
        <s v="蓝舰信息科技南京有限公司"/>
        <s v="深智科技(广州一见)算力项目"/>
        <s v="大连理工大学"/>
        <s v="灵心科技H20项目"/>
        <s v="南京OPC社区"/>
        <s v="方寸跃迁(雄安)科技有限公司"/>
        <s v="Jerry"/>
        <s v="中国人民大学"/>
        <s v="文旅打卡机-张宇"/>
        <s v="西安多普多"/>
        <s v="宽谷信息技术服务有限公司"/>
        <s v="扬州无界矩阵科技有限公司"/>
        <s v="哈尔滨工业大学"/>
        <s v="武汉火燚网络科技有限公司"/>
        <s v="深圳大学"/>
        <s v="清北智源"/>
        <s v="奇绩训练"/>
        <s v="DAWNECXE"/>
        <s v="守扣科技"/>
        <s v="杭州麟云科技"/>
        <s v="影溯科技"/>
        <s v="华智未来"/>
        <s v="万格-YifeiWu"/>
        <s v="上海心舆"/>
        <s v="OriginFlow"/>
        <s v="国利新安平台测试"/>
        <s v="如意AI"/>
        <s v="深势科技"/>
        <s v="kiri"/>
        <s v="捷宇科技H20项目"/>
        <s v="灵予科技"/>
        <s v="央视频"/>
        <s v="蚂蚁工厂"/>
        <s v="即时设计"/>
      </sharedItems>
    </cacheField>
    <cacheField name="总消费" numFmtId="0">
      <sharedItems containsSemiMixedTypes="0" containsString="0" containsNumber="1" minValue="0" maxValue="110047.466798" count="1023">
        <n v="110047.466798"/>
        <n v="94301.969356"/>
        <n v="52918.688898"/>
        <n v="18756.708174"/>
        <n v="12722.20455"/>
        <n v="8791.037808"/>
        <n v="7245.608456"/>
        <n v="6117.429403"/>
        <n v="6030.90909"/>
        <n v="4900.40095"/>
        <n v="4794.062608"/>
        <n v="4397.732228"/>
        <n v="3787.59907"/>
        <n v="3725.800231"/>
        <n v="3539.835396"/>
        <n v="3523.722842"/>
        <n v="3200.057526"/>
        <n v="2412.454506"/>
        <n v="1781.98747"/>
        <n v="1453.636672"/>
        <n v="1214.363846"/>
        <n v="1231.283622"/>
        <n v="925.610607"/>
        <n v="862.20951"/>
        <n v="821.911694"/>
        <n v="820.3464"/>
        <n v="661.170828"/>
        <n v="543.904016"/>
        <n v="538.417798"/>
        <n v="517.436076"/>
        <n v="504.422823"/>
        <n v="475.368395"/>
        <n v="471.90334"/>
        <n v="457.221382"/>
        <n v="429.604619"/>
        <n v="426.354118"/>
        <n v="370.855349"/>
        <n v="350.051436"/>
        <n v="324.787088"/>
        <n v="323.159202"/>
        <n v="327.840561"/>
        <n v="306.885698"/>
        <n v="302.370479"/>
        <n v="290.149308"/>
        <n v="289.88928"/>
        <n v="288.369492"/>
        <n v="253.807832"/>
        <n v="246.471588"/>
        <n v="244.192322"/>
        <n v="244.999343"/>
        <n v="215.315766"/>
        <n v="214.083429"/>
        <n v="211.045808"/>
        <n v="215.513159"/>
        <n v="200.11909"/>
        <n v="180.80208"/>
        <n v="178.153775"/>
        <n v="167.05233"/>
        <n v="161.344614"/>
        <n v="170.90869"/>
        <n v="160.868792"/>
        <n v="165.798768"/>
        <n v="160.338662"/>
        <n v="145.983038"/>
        <n v="152.013448"/>
        <n v="144.13846"/>
        <n v="150.578163"/>
        <n v="159.281596"/>
        <n v="137.173624"/>
        <n v="133.907084"/>
        <n v="128.736376"/>
        <n v="122.339019"/>
        <n v="121.70522"/>
        <n v="126.010199"/>
        <n v="112.948095"/>
        <n v="116.797004"/>
        <n v="121.770985"/>
        <n v="114.656068"/>
        <n v="106.549049"/>
        <n v="101.980838"/>
        <n v="95.674926"/>
        <n v="100.588744"/>
        <n v="89.3694"/>
        <n v="98.577651"/>
        <n v="111.85398"/>
        <n v="95.532351"/>
        <n v="92.685037"/>
        <n v="84.85394"/>
        <n v="92.03134"/>
        <n v="80.578856"/>
        <n v="78.447079"/>
        <n v="77.814334"/>
        <n v="73.849924"/>
        <n v="70.666104"/>
        <n v="70.115372"/>
        <n v="63.739946"/>
        <n v="80.720892"/>
        <n v="69.116128"/>
        <n v="60.099088"/>
        <n v="60.036178"/>
        <n v="59.097484"/>
        <n v="65.414986"/>
        <n v="65.4125"/>
        <n v="57.648394"/>
        <n v="57.60226"/>
        <n v="56.915856"/>
        <n v="70.513727"/>
        <n v="65.569288"/>
        <n v="55.890885"/>
        <n v="54.40032"/>
        <n v="53.046892"/>
        <n v="52.420821"/>
        <n v="58.25304"/>
        <n v="59.709444"/>
        <n v="50.082884"/>
        <n v="56.586697"/>
        <n v="56.06856"/>
        <n v="55.96776"/>
        <n v="48.413119"/>
        <n v="48.330436"/>
        <n v="48.141062"/>
        <n v="47.398258"/>
        <n v="46.94484"/>
        <n v="46.67743"/>
        <n v="53.379339"/>
        <n v="53.229546"/>
        <n v="46.141392"/>
        <n v="53.211901"/>
        <n v="44.358758"/>
        <n v="44.12554"/>
        <n v="41.737594"/>
        <n v="41.317424"/>
        <n v="41.243186"/>
        <n v="41.072308"/>
        <n v="52.217137"/>
        <n v="40.038145"/>
        <n v="39.795002"/>
        <n v="39.032528"/>
        <n v="38.772444"/>
        <n v="44.536664"/>
        <n v="44.17211"/>
        <n v="39.99888"/>
        <n v="36.111272"/>
        <n v="43.089881"/>
        <n v="35.518986"/>
        <n v="31.731678"/>
        <n v="32.526392"/>
        <n v="38.8656"/>
        <n v="31.228524"/>
        <n v="42.316585"/>
        <n v="30.84336"/>
        <n v="30.810988"/>
        <n v="30.655344"/>
        <n v="30.03603"/>
        <n v="37.465564"/>
        <n v="29.678142"/>
        <n v="29.554875"/>
        <n v="29.087834"/>
        <n v="28.9656"/>
        <n v="28.921824"/>
        <n v="28.663194"/>
        <n v="43.545848"/>
        <n v="35.822752"/>
        <n v="28.208696"/>
        <n v="27.20508"/>
        <n v="36.896287"/>
        <n v="26.65753"/>
        <n v="25.07546"/>
        <n v="32.12496"/>
        <n v="34.124248"/>
        <n v="23.811124"/>
        <n v="23.736544"/>
        <n v="23.685512"/>
        <n v="23.563234"/>
        <n v="33.769622"/>
        <n v="30.061972"/>
        <n v="29.99448"/>
        <n v="29.747657"/>
        <n v="21.723989"/>
        <n v="21.593508"/>
        <n v="21.433432"/>
        <n v="22.5504"/>
        <n v="28.188"/>
        <n v="28.34352"/>
        <n v="20.83608"/>
        <n v="20.11023"/>
        <n v="20.006312"/>
        <n v="35.030497"/>
        <n v="30.669964"/>
        <n v="21.554364"/>
        <n v="19.106362"/>
        <n v="18.89568"/>
        <n v="28.314997"/>
        <n v="33.22509"/>
        <n v="17.998435"/>
        <n v="17.66656"/>
        <n v="17.554048"/>
        <n v="17.389035"/>
        <n v="17.371628"/>
        <n v="17.295504"/>
        <n v="16.99852"/>
        <n v="16.96706"/>
        <n v="24.40347"/>
        <n v="24.397023"/>
        <n v="16.537874"/>
        <n v="16.492476"/>
        <n v="16.455392"/>
        <n v="16.366386"/>
        <n v="15.945588"/>
        <n v="24.823604"/>
        <n v="19.197944"/>
        <n v="15.558926"/>
        <n v="15.3576"/>
        <n v="14.949495"/>
        <n v="14.935403"/>
        <n v="16.57944"/>
        <n v="14.796"/>
        <n v="14.507824"/>
        <n v="14.334626"/>
        <n v="14.19716"/>
        <n v="13.921284"/>
        <n v="13.890994"/>
        <n v="13.73302"/>
        <n v="157.80624"/>
        <n v="22.328026"/>
        <n v="13.137686"/>
        <n v="13.069966"/>
        <n v="27.429531"/>
        <n v="12.361116"/>
        <n v="12.30984"/>
        <n v="12.12408"/>
        <n v="12.069064"/>
        <n v="12.059148"/>
        <n v="19.536976"/>
        <n v="11.676978"/>
        <n v="11.5812"/>
        <n v="22.36238"/>
        <n v="11.476182"/>
        <n v="18.937507"/>
        <n v="11.418316"/>
        <n v="16.06536"/>
        <n v="11.394439"/>
        <n v="18.882984"/>
        <n v="18.77472"/>
        <n v="11.116558"/>
        <n v="18.532362"/>
        <n v="12.75552"/>
        <n v="10.744096"/>
        <n v="11.1312"/>
        <n v="10.644378"/>
        <n v="12.6006"/>
        <n v="10.532838"/>
        <n v="10.280564"/>
        <n v="10.27297"/>
        <n v="20.258664"/>
        <n v="10.147533"/>
        <n v="10.103346"/>
        <n v="10.098686"/>
        <n v="10.094924"/>
        <n v="10.090764"/>
        <n v="10.08035"/>
        <n v="10.066998"/>
        <n v="10.066532"/>
        <n v="16.998816"/>
        <n v="17.34336"/>
        <n v="9.758506"/>
        <n v="9.526904"/>
        <n v="9.390684"/>
        <n v="9.25344"/>
        <n v="16.1352"/>
        <n v="16.623144"/>
        <n v="9.087012"/>
        <n v="8.979354"/>
        <n v="16.461489"/>
        <n v="16.45776"/>
        <n v="8.911268"/>
        <n v="10.89864"/>
        <n v="16.229785"/>
        <n v="8.707676"/>
        <n v="8.56275"/>
        <n v="15.526354"/>
        <n v="8.433488"/>
        <n v="8.382518"/>
        <n v="8.300392"/>
        <n v="8.294983"/>
        <n v="8.1648"/>
        <n v="10.76616"/>
        <n v="15.496746"/>
        <n v="7.989104"/>
        <n v="7.98491"/>
        <n v="7.87104"/>
        <n v="15.30241"/>
        <n v="7.79385"/>
        <n v="7.708106"/>
        <n v="7.702048"/>
        <n v="7.585744"/>
        <n v="15.06574"/>
        <n v="7.55599"/>
        <n v="7.473528"/>
        <n v="14.83488"/>
        <n v="15.906441"/>
        <n v="7.76304"/>
        <n v="14.362665"/>
        <n v="7.339404"/>
        <n v="8.80848"/>
        <n v="7.170342"/>
        <n v="7.013664"/>
        <n v="11.02536"/>
        <n v="9.64512"/>
        <n v="6.855432"/>
        <n v="11.62008"/>
        <n v="6.807328"/>
        <n v="6.756378"/>
        <n v="6.70536"/>
        <n v="12.73536"/>
        <n v="14.24719"/>
        <n v="6.66613"/>
        <n v="6.61487"/>
        <n v="6.504428"/>
        <n v="6.45876"/>
        <n v="6.457828"/>
        <n v="6.441014"/>
        <n v="8.89471"/>
        <n v="6.35158"/>
        <n v="6.23741"/>
        <n v="7.3872"/>
        <n v="6.173144"/>
        <n v="6.163316"/>
        <n v="5.970606"/>
        <n v="5.889308"/>
        <n v="5.86084"/>
        <n v="5.8572"/>
        <n v="5.855756"/>
        <n v="5.85296"/>
        <n v="5.82097"/>
        <n v="5.796"/>
        <n v="5.722014"/>
        <n v="13.119539"/>
        <n v="5.545866"/>
        <n v="5.380769"/>
        <n v="12.03264"/>
        <n v="13.13856"/>
        <n v="5.29609"/>
        <n v="5.293799"/>
        <n v="5.281384"/>
        <n v="184.290764"/>
        <n v="5.23728"/>
        <n v="5.32008"/>
        <n v="5.148"/>
        <n v="5.025344"/>
        <n v="5.003908"/>
        <n v="104.98514"/>
        <n v="4.972472"/>
        <n v="12.382042"/>
        <n v="4.86567"/>
        <n v="4.860846"/>
        <n v="4.85928"/>
        <n v="4.85712"/>
        <n v="4.843764"/>
        <n v="4.83984"/>
        <n v="4.826828"/>
        <n v="5.147016"/>
        <n v="12.123937"/>
        <n v="4.78152"/>
        <n v="4.66848"/>
        <n v="4.617876"/>
        <n v="5.49216"/>
        <n v="4.588702"/>
        <n v="4.577984"/>
        <n v="4.511958"/>
        <n v="4.479192"/>
        <n v="4.442844"/>
        <n v="4.417176"/>
        <n v="4.386458"/>
        <n v="11.383714"/>
        <n v="4.319456"/>
        <n v="4.309102"/>
        <n v="4.181748"/>
        <n v="4.171166"/>
        <n v="11.644192"/>
        <n v="4.089078"/>
        <n v="10.88352"/>
        <n v="4.032"/>
        <n v="3.98197"/>
        <n v="3.92364"/>
        <n v="3.843102"/>
        <n v="3.776615"/>
        <n v="3.753446"/>
        <n v="3.732552"/>
        <n v="10.711834"/>
        <n v="3.70332"/>
        <n v="19.111162"/>
        <n v="3.6864"/>
        <n v="3.672"/>
        <n v="3.647848"/>
        <n v="3.643265"/>
        <n v="3.610568"/>
        <n v="3.59568"/>
        <n v="3.58992"/>
        <n v="4.336596"/>
        <n v="3.58488"/>
        <n v="3.57768"/>
        <n v="3.56904"/>
        <n v="3.57336"/>
        <n v="3.646356"/>
        <n v="3.515504"/>
        <n v="3.58848"/>
        <n v="11.331178"/>
        <n v="3.412984"/>
        <n v="3.41029"/>
        <n v="3.40326"/>
        <n v="3.343084"/>
        <n v="3.334696"/>
        <n v="3.326492"/>
        <n v="3.265728"/>
        <n v="3.888"/>
        <n v="3.221548"/>
        <n v="3.200034"/>
        <n v="3.200022"/>
        <n v="11.00808"/>
        <n v="10.682616"/>
        <n v="7.728344"/>
        <n v="3.118125"/>
        <n v="3.1059"/>
        <n v="7.26408"/>
        <n v="43.402869"/>
        <n v="3.005975"/>
        <n v="3.0057"/>
        <n v="2.996846"/>
        <n v="2.916"/>
        <n v="3.196973"/>
        <n v="2.88288"/>
        <n v="2.867868"/>
        <n v="2.84328"/>
        <n v="2.836076"/>
        <n v="2.83392"/>
        <n v="2.7216"/>
        <n v="2.685092"/>
        <n v="10.166578"/>
        <n v="2.662258"/>
        <n v="2.6604"/>
        <n v="2.636953"/>
        <n v="2.60497"/>
        <n v="7.822308"/>
        <n v="2.519914"/>
        <n v="2.4912"/>
        <n v="2.48256"/>
        <n v="2.481024"/>
        <n v="16.735522"/>
        <n v="2.44647"/>
        <n v="2.3533"/>
        <n v="2.60105"/>
        <n v="2.219558"/>
        <n v="2.19672"/>
        <n v="2.174356"/>
        <n v="2.2032"/>
        <n v="2.12496"/>
        <n v="9.621163"/>
        <n v="2.1203"/>
        <n v="7.1892"/>
        <n v="2.106"/>
        <n v="2.104922"/>
        <n v="2.090812"/>
        <n v="15.444238"/>
        <n v="1.999606"/>
        <n v="1.9805"/>
        <n v="1.944"/>
        <n v="1.935298"/>
        <n v="1.916658"/>
        <n v="12.3336"/>
        <n v="2.91096"/>
        <n v="1.899478"/>
        <n v="1.890096"/>
        <n v="9.359827"/>
        <n v="7.45488"/>
        <n v="1.83448"/>
        <n v="6.44688"/>
        <n v="9.317455"/>
        <n v="1.81041"/>
        <n v="9.263848"/>
        <n v="1.7496"/>
        <n v="7.4196"/>
        <n v="5.53608"/>
        <n v="1.628496"/>
        <n v="1.615136"/>
        <n v="15.60845"/>
        <n v="280.947519"/>
        <n v="1.50984"/>
        <n v="4.22379"/>
        <n v="1.46664"/>
        <n v="1.466036"/>
        <n v="8.953637"/>
        <n v="1.413378"/>
        <n v="11.39662"/>
        <n v="1.489268"/>
        <n v="1.387282"/>
        <n v="1.3608"/>
        <n v="5.8752"/>
        <n v="1.343012"/>
        <n v="3.33216"/>
        <n v="1.270782"/>
        <n v="73.165348"/>
        <n v="16.233134"/>
        <n v="1.22724"/>
        <n v="1.22682"/>
        <n v="8.48952"/>
        <n v="1.1628"/>
        <n v="1.16034"/>
        <n v="8.637537"/>
        <n v="1.11168"/>
        <n v="1.10304"/>
        <n v="1.1016"/>
        <n v="1.09743"/>
        <n v="1.161717"/>
        <n v="1.08828"/>
        <n v="1.08648"/>
        <n v="1.08578"/>
        <n v="6.8796"/>
        <n v="1.02735"/>
        <n v="1.015114"/>
        <n v="1.010072"/>
        <n v="0.998174"/>
        <n v="0.99724"/>
        <n v="0.972"/>
        <n v="0.95616"/>
        <n v="182.729239"/>
        <n v="0.888196"/>
        <n v="5.78448"/>
        <n v="0.871055"/>
        <n v="0.865828"/>
        <n v="0.857906"/>
        <n v="0.831344"/>
        <n v="0.80712"/>
        <n v="4.229144"/>
        <n v="1.507544"/>
        <n v="0.7776"/>
        <n v="0.7456"/>
        <n v="0.721834"/>
        <n v="0.924378"/>
        <n v="0.709268"/>
        <n v="0.708786"/>
        <n v="0.695272"/>
        <n v="0.636556"/>
        <n v="0.61341"/>
        <n v="0.600674"/>
        <n v="0.592508"/>
        <n v="10.588321"/>
        <n v="0.587543"/>
        <n v="0.5832"/>
        <n v="6.26472"/>
        <n v="0.564102"/>
        <n v="9.97272"/>
        <n v="0.55263"/>
        <n v="0.548482"/>
        <n v="0.53124"/>
        <n v="0.51768"/>
        <n v="8.008157"/>
        <n v="0.49968"/>
        <n v="0.492096"/>
        <n v="0.488061"/>
        <n v="0.48312"/>
        <n v="7.973406"/>
        <n v="27.27661"/>
        <n v="0.45901"/>
        <n v="2.1384"/>
        <n v="2411.046232"/>
        <n v="22.761444"/>
        <n v="0.427788"/>
        <n v="2.094165"/>
        <n v="0.42363"/>
        <n v="0.390816"/>
        <n v="0.3888"/>
        <n v="0.382586"/>
        <n v="0.37476"/>
        <n v="0.363946"/>
        <n v="0.35568"/>
        <n v="0.352296"/>
        <n v="3.162734"/>
        <n v="0.341212"/>
        <n v="0.341178"/>
        <n v="0.331792"/>
        <n v="0.331038"/>
        <n v="0.328434"/>
        <n v="0.328064"/>
        <n v="0.98934"/>
        <n v="50.223616"/>
        <n v="0.310822"/>
        <n v="6.19848"/>
        <n v="13.015986"/>
        <n v="0.303832"/>
        <n v="0.29824"/>
        <n v="0.297774"/>
        <n v="0.29376"/>
        <n v="0.281464"/>
        <n v="0.7344"/>
        <n v="0.266552"/>
        <n v="0.263756"/>
        <n v="0.262358"/>
        <n v="0.262332"/>
        <n v="0.26784"/>
        <n v="0.260028"/>
        <n v="0.254902"/>
        <n v="0.254004"/>
        <n v="0.24984"/>
        <n v="0.292422"/>
        <n v="0.243718"/>
        <n v="0.243252"/>
        <n v="0.23596"/>
        <n v="0.233466"/>
        <n v="0.217916"/>
        <n v="0.21528"/>
        <n v="0.213894"/>
        <n v="0.206812"/>
        <n v="0.205948"/>
        <n v="0.20271"/>
        <n v="0.198982"/>
        <n v="0.197118"/>
        <n v="0.1944"/>
        <n v="0.19404"/>
        <n v="10.191246"/>
        <n v="0.19106"/>
        <n v="0.187332"/>
        <n v="0.18407"/>
        <n v="0.183216"/>
        <n v="0.178478"/>
        <n v="10.178372"/>
        <n v="0.177546"/>
        <n v="0.17708"/>
        <n v="0.176148"/>
        <n v="0.17475"/>
        <n v="0.170556"/>
        <n v="0.169624"/>
        <n v="0.169335"/>
        <n v="71.815198"/>
        <n v="0.167294"/>
        <n v="0.166362"/>
        <n v="0.165896"/>
        <n v="0.16543"/>
        <n v="0.164964"/>
        <n v="0.164498"/>
        <n v="0.163566"/>
        <n v="0.161702"/>
        <n v="0.158906"/>
        <n v="0.156576"/>
        <n v="7.656207"/>
        <n v="0.15611"/>
        <n v="0.154712"/>
        <n v="0.154246"/>
        <n v="0.151916"/>
        <n v="0.15145"/>
        <n v="0.150945"/>
        <n v="0.150052"/>
        <n v="0.14688"/>
        <n v="0.15021"/>
        <n v="0.142596"/>
        <n v="0.141198"/>
        <n v="3.8952"/>
        <n v="0.139608"/>
        <n v="0.13932"/>
        <n v="0.138402"/>
        <n v="0.136538"/>
        <n v="0.135606"/>
        <n v="0.128925"/>
        <n v="0.122092"/>
        <n v="0.12166"/>
        <n v="0.118364"/>
        <n v="0.116966"/>
        <n v="0.114636"/>
        <n v="0.113238"/>
        <n v="0.106714"/>
        <n v="0.105316"/>
        <n v="10.104853"/>
        <n v="0.10248"/>
        <n v="0.099724"/>
        <n v="0.098792"/>
        <n v="0.096462"/>
        <n v="10.095424"/>
        <n v="10.094958"/>
        <n v="0.092268"/>
        <n v="0.091802"/>
        <n v="0.080152"/>
        <n v="0.070094"/>
        <n v="0.066172"/>
        <n v="0.06524"/>
        <n v="0.064774"/>
        <n v="0.06291"/>
        <n v="0.061978"/>
        <n v="0.061046"/>
        <n v="0.059182"/>
        <n v="0.058716"/>
        <n v="7.557371"/>
        <n v="0.055118"/>
        <n v="0.049862"/>
        <n v="0.04893"/>
        <n v="0.047532"/>
        <n v="0.043804"/>
        <n v="0.04164"/>
        <n v="0.040946"/>
        <n v="0.03888"/>
        <n v="0.032154"/>
        <n v="0.030536"/>
        <n v="0.029824"/>
        <n v="0.027494"/>
        <n v="0.026096"/>
        <n v="0.02563"/>
        <n v="7.17696"/>
        <n v="0.020504"/>
        <n v="0.018174"/>
        <n v="0.015844"/>
        <n v="0.0147"/>
        <n v="0.014446"/>
        <n v="0.014112"/>
        <n v="0.013048"/>
        <n v="0.012116"/>
        <n v="0.011592"/>
        <n v="0.011184"/>
        <n v="0.00932"/>
        <n v="0.006608"/>
        <n v="0.006524"/>
        <n v="0.005592"/>
        <n v="0.005126"/>
        <n v="0.003728"/>
        <n v="0.003262"/>
        <n v="0.000224"/>
        <n v="0.046564"/>
        <n v="3.818048"/>
        <n v="5.486002"/>
        <n v="0.94806"/>
        <n v="6.865971"/>
        <n v="8.700344"/>
        <n v="1.1664"/>
        <n v="0.193358"/>
        <n v="8.670669"/>
        <n v="105.54264"/>
        <n v="1.757256"/>
        <n v="0.344925"/>
        <n v="176.30325"/>
        <n v="3.81888"/>
        <n v="1.886688"/>
        <n v="3.8268"/>
        <n v="7.75116"/>
        <n v="3.686879"/>
        <n v="2.38824"/>
        <n v="3.543496"/>
        <n v="2.35008"/>
        <n v="3.44808"/>
        <n v="0.945048"/>
        <n v="0.783653"/>
        <n v="7.385953"/>
        <n v="4.477982"/>
        <n v="6.922121"/>
        <n v="11.45894"/>
        <n v="5.05584"/>
        <n v="2.760393"/>
        <n v="4.22208"/>
        <n v="13.8024"/>
        <n v="0.7409"/>
        <n v="2.78919"/>
        <n v="2.51532"/>
        <n v="4.40538"/>
        <n v="2.365428"/>
        <n v="0.023715"/>
        <n v="1.118812"/>
        <n v="6.173178"/>
        <n v="1.361242"/>
        <n v="256.646081"/>
        <n v="0.21613"/>
        <n v="1.684222"/>
        <n v="5.919624"/>
        <n v="2.25576"/>
        <n v="0.53568"/>
        <n v="2.413286"/>
        <n v="1.474228"/>
        <n v="2.935576"/>
        <n v="270.50601"/>
        <n v="5.153779"/>
        <n v="0.10143"/>
        <n v="2.553226"/>
        <n v="6.503546"/>
        <n v="0.98201"/>
        <n v="39297.554922"/>
        <n v="0.301783"/>
        <n v="1.973664"/>
        <n v="1.035573"/>
        <n v="0.44847"/>
        <n v="0.31212"/>
        <n v="6.475548"/>
        <n v="0.16309"/>
        <n v="1.723202"/>
        <n v="1.959058"/>
        <n v="1.723476"/>
        <n v="3.15432"/>
        <n v="2.98262"/>
        <n v="45.070122"/>
        <n v="1.65907"/>
        <n v="1.89662"/>
        <n v="0.74379"/>
        <n v="0.623008"/>
        <n v="3.325425"/>
        <n v="3.188838"/>
        <n v="175.699708"/>
        <n v="5.817722"/>
        <n v="3.44232"/>
        <n v="0.068949"/>
        <n v="3.9636"/>
        <n v="10.771428"/>
        <n v="2.880752"/>
        <n v="1.523452"/>
        <n v="2.49696"/>
        <n v="0.001488"/>
        <n v="0.231102"/>
        <n v="0.152848"/>
        <n v="0.520398"/>
        <n v="0.34356"/>
        <n v="5.005815"/>
        <n v="2.57616"/>
        <n v="0.15804"/>
        <n v="3.67488"/>
        <n v="0.341246"/>
        <n v="5.540531"/>
        <n v="2.28511"/>
        <n v="0.139455"/>
        <n v="3.59928"/>
        <n v="1.118778"/>
        <n v="0.147935"/>
        <n v="5.002044"/>
        <n v="55.084735"/>
        <n v="0.144342"/>
        <n v="5.804496"/>
        <n v="5.89392"/>
        <n v="5.363291"/>
        <n v="2.523576"/>
        <n v="1.88264"/>
        <n v="1.559992"/>
        <n v="7.79547"/>
        <n v="0.548485"/>
        <n v="5.724"/>
        <n v="3.444672"/>
        <n v="2.048116"/>
        <n v="66.14254"/>
        <n v="3.48408"/>
        <n v="0.605729"/>
        <n v="4.386586"/>
        <n v="0.341144"/>
        <n v="154.75549"/>
        <n v="1.341527"/>
        <n v="6.350336"/>
        <n v="4.00824"/>
        <n v="1.815722"/>
        <n v="673.776347"/>
        <n v="0.149116"/>
        <n v="3.59496"/>
        <n v="0.305252"/>
        <n v="6.505019"/>
        <n v="0.876824"/>
        <n v="1.206672"/>
        <n v="3.69576"/>
        <n v="0.09783"/>
        <n v="3.46896"/>
        <n v="5.080717"/>
        <n v="5.544712"/>
        <n v="57.58129"/>
        <n v="24.190792"/>
        <n v="4.84282"/>
        <n v="0.091575"/>
        <n v="1.169792"/>
        <n v="32.510463"/>
        <n v="0.054967"/>
        <n v="0.130696"/>
        <n v="10.02888"/>
        <n v="1.955802"/>
        <n v="6.588059"/>
        <n v="1.89576"/>
        <n v="0.030756"/>
        <n v="3.82392"/>
        <n v="1.126788"/>
        <n v="2.57257"/>
        <n v="0.74605"/>
        <n v="3.86712"/>
        <n v="11.139264"/>
        <n v="1.03608"/>
        <n v="5.317153"/>
        <n v="53.819554"/>
        <n v="2.583048"/>
        <n v="63.91152"/>
        <n v="4.075072"/>
        <n v="1.09452"/>
        <n v="0.171585"/>
        <n v="0.370099"/>
        <n v="95.022774"/>
        <n v="0.174352"/>
        <n v="0.146434"/>
        <n v="2.571744"/>
        <n v="6.559042"/>
        <n v="9.82008"/>
        <n v="0.001156"/>
        <n v="4.65967"/>
        <n v="3.444597"/>
        <n v="1.151214"/>
        <n v="4.57056"/>
        <n v="0.20803"/>
        <n v="11.686791"/>
        <n v="0.188055"/>
        <n v="3.156362"/>
        <n v="0.10584"/>
        <n v="0.33312"/>
        <n v="0.287334"/>
        <n v="0.011451"/>
        <n v="6.804"/>
        <n v="13.668425"/>
        <n v="2.5272"/>
        <n v="0.57978"/>
        <n v="0.30384"/>
        <n v="0.10935"/>
        <n v="1.433804"/>
        <n v="0.13761"/>
        <n v="1.423551"/>
        <n v="6.780432"/>
        <n v="5.85"/>
        <n v="0.395556"/>
        <n v="192.457068"/>
        <n v="1276.718481"/>
        <n v="1.59448"/>
        <n v="5.78449"/>
        <n v="1.50264"/>
        <n v="3.22416"/>
        <n v="4.020648"/>
        <n v="2.285805"/>
        <n v="1.37268"/>
        <n v="120.162794"/>
        <n v="2.0808"/>
        <n v="3.085852"/>
        <n v="50.094261"/>
        <n v="6.119978"/>
        <n v="2.55672"/>
        <n v="3.71169"/>
        <n v="4.44312"/>
        <n v="3.740565"/>
        <n v="1.978648"/>
        <n v="10.642645"/>
        <n v="5.358672"/>
        <n v="3.468094"/>
        <n v="6.492542"/>
        <n v="3.59424"/>
        <n v="8.225832"/>
        <n v="2.56659"/>
        <n v="0.038318"/>
        <n v="4.061196"/>
        <n v="263.820834"/>
        <n v="1.2276"/>
        <n v="9.48456"/>
        <n v="2.941858"/>
        <n v="0.157388"/>
        <n v="0.21927"/>
        <n v="7.942957"/>
        <n v="3.62736"/>
        <n v="3.06288"/>
        <n v="3.624946"/>
        <n v="9.542282"/>
        <n v="0.119296"/>
        <n v="6.6096"/>
        <n v="1.517163"/>
        <n v="6.816304"/>
        <n v="0.510582"/>
        <n v="1.11888"/>
        <n v="1.8119"/>
        <n v="0.03495"/>
        <n v="0.286031"/>
        <n v="2.617818"/>
        <n v="1.001004"/>
        <n v="5.341668"/>
        <n v="0.022372"/>
        <n v="2.280602"/>
        <n v="5.425647"/>
        <n v="28.88712"/>
        <n v="14.827842"/>
        <n v="3.647994"/>
        <n v="1.39567"/>
        <n v="5.127996"/>
        <n v="0.021285"/>
        <n v="7.18776"/>
        <n v="2.48472"/>
        <n v="0.19193"/>
        <n v="0.32328"/>
        <n v="0.155745"/>
        <n v="10.369296"/>
        <n v="4.476829"/>
        <n v="5.705729"/>
        <n v="5.244532"/>
        <n v="2.154922"/>
        <n v="0.338912"/>
        <n v="1448.968934"/>
        <n v="0.09954"/>
        <n v="10.951742"/>
        <n v="0.928212"/>
        <n v="0.37152"/>
        <n v="4.2633"/>
        <n v="0.225504"/>
        <n v="7.038088"/>
        <n v="4.074783"/>
        <n v="2.327592"/>
        <n v="1.839096"/>
        <n v="4.61304"/>
        <n v="0.030565"/>
        <n v="1.631388"/>
        <n v="0.68156"/>
        <n v="0.38664"/>
        <n v="0.43826"/>
        <n v="0.019485"/>
        <n v="6.620282"/>
        <n v="0.179876"/>
        <n v="1.41409"/>
        <n v="2.670089"/>
        <n v="3.846837"/>
        <n v="4.36464"/>
        <n v="1.78268"/>
        <n v="0.167948"/>
        <n v="3.068271"/>
        <n v="0.0694"/>
        <n v="1.439012"/>
        <n v="0.090288"/>
        <n v="3.527598"/>
        <n v="0.03536"/>
      </sharedItems>
    </cacheField>
    <cacheField name="券消费" numFmtId="0">
      <sharedItems containsSemiMixedTypes="0" containsString="0" containsNumber="1" minValue="0" maxValue="39297.554922" count="464">
        <n v="0"/>
        <n v="9"/>
        <n v="36.079584"/>
        <n v="7"/>
        <n v="7.5"/>
        <n v="10"/>
        <n v="20"/>
        <n v="14.042578"/>
        <n v="9.231273"/>
        <n v="23.788834"/>
        <n v="17.393259"/>
        <n v="13.927342"/>
        <n v="9.266338"/>
        <n v="9.622914"/>
        <n v="11.234198"/>
        <n v="3.166788"/>
        <n v="1.065625"/>
        <n v="11.172097"/>
        <n v="15.20043"/>
        <n v="9.940057"/>
        <n v="11.051569"/>
        <n v="1.16928"/>
        <n v="15.330255"/>
        <n v="11.223696"/>
        <n v="2.129154"/>
        <n v="9.45433"/>
        <n v="15"/>
        <n v="3.604784"/>
        <n v="1.657944"/>
        <n v="144.195504"/>
        <n v="8.752398"/>
        <n v="10.860295"/>
        <n v="4.666249"/>
        <n v="1.783642"/>
        <n v="0.404695"/>
        <n v="1.985753"/>
        <n v="2.141502"/>
        <n v="2.615354"/>
        <n v="7.397036"/>
        <n v="8.481704"/>
        <n v="0.398934"/>
        <n v="1.486989"/>
        <n v="4.054215"/>
        <n v="2.732784"/>
        <n v="4.784484"/>
        <n v="6.049296"/>
        <n v="7.567682"/>
        <n v="2.526257"/>
        <n v="1.19187"/>
        <n v="6.653966"/>
        <n v="7.810216"/>
        <n v="179.02148"/>
        <n v="0.096224"/>
        <n v="100"/>
        <n v="0.328996"/>
        <n v="7.3914"/>
        <n v="0.106256"/>
        <n v="0.889932"/>
        <n v="6.463756"/>
        <n v="6.804664"/>
        <n v="15.416068"/>
        <n v="0.748862"/>
        <n v="0.024815"/>
        <n v="0.125496"/>
        <n v="0.084728"/>
        <n v="7.881823"/>
        <n v="0.657"/>
        <n v="7.821069"/>
        <n v="4.574527"/>
        <n v="4.186935"/>
        <n v="40.377086"/>
        <n v="0.283755"/>
        <n v="0.046575"/>
        <n v="5.222753"/>
        <n v="14.260759"/>
        <n v="0.274244"/>
        <n v="0.07038"/>
        <n v="5.073645"/>
        <n v="13.417536"/>
        <n v="10.41857"/>
        <n v="1.006707"/>
        <n v="5.611868"/>
        <n v="4.625766"/>
        <n v="5.70897"/>
        <n v="3.906012"/>
        <n v="14"/>
        <n v="279.343197"/>
        <n v="2.752814"/>
        <n v="9.988216"/>
        <n v="0.08976"/>
        <n v="4.52608"/>
        <n v="0.029925"/>
        <n v="2.040948"/>
        <n v="71.9114"/>
        <n v="7.313487"/>
        <n v="0.069616"/>
        <n v="5.799885"/>
        <n v="181.833921"/>
        <n v="4.904961"/>
        <n v="3.427287"/>
        <n v="0.71402"/>
        <n v="0.203694"/>
        <n v="5.685842"/>
        <n v="0.00567"/>
        <n v="0.009315"/>
        <n v="9.408877"/>
        <n v="0.00218"/>
        <n v="26.814194"/>
        <n v="1.681695"/>
        <n v="2410.603186"/>
        <n v="22.318912"/>
        <n v="1.6803"/>
        <n v="0.013365"/>
        <n v="2.81245"/>
        <n v="0.001896"/>
        <n v="0.05895"/>
        <n v="0.66507"/>
        <n v="49.910715"/>
        <n v="5.888556"/>
        <n v="12.711522"/>
        <n v="0.456184"/>
        <n v="0.005952"/>
        <n v="0.04485"/>
        <n v="0.004511"/>
        <n v="0.14958"/>
        <n v="0.7452"/>
        <n v="0.00072"/>
        <n v="0.00387"/>
        <n v="0.00486"/>
        <n v="0.005355"/>
        <n v="0.00558"/>
        <n v="0.0063"/>
        <n v="71.646807"/>
        <n v="0.004095"/>
        <n v="0.002924"/>
        <n v="0.004556"/>
        <n v="3.755446"/>
        <n v="0.118327"/>
        <n v="0.003195"/>
        <n v="0.09567"/>
        <n v="0.10134"/>
        <n v="0.090032"/>
        <n v="0.138105"/>
        <n v="0.138825"/>
        <n v="0.14661"/>
        <n v="3.62695"/>
        <n v="0.35442"/>
        <n v="0.16263"/>
        <n v="7.156104"/>
        <n v="0.17721"/>
        <n v="0.185085"/>
        <n v="0.046564"/>
        <n v="3.58848"/>
        <n v="0.1944"/>
        <n v="3.818048"/>
        <n v="5.486002"/>
        <n v="0.94806"/>
        <n v="6.865971"/>
        <n v="8.700344"/>
        <n v="1.1664"/>
        <n v="2.7216"/>
        <n v="0.193358"/>
        <n v="8.670669"/>
        <n v="105.54264"/>
        <n v="1.757256"/>
        <n v="0.344925"/>
        <n v="176.30325"/>
        <n v="3.81888"/>
        <n v="1.886688"/>
        <n v="3.8268"/>
        <n v="7.75116"/>
        <n v="3.686879"/>
        <n v="2.38824"/>
        <n v="3.543496"/>
        <n v="2.35008"/>
        <n v="3.44808"/>
        <n v="0.945048"/>
        <n v="0.783653"/>
        <n v="7.385953"/>
        <n v="4.477982"/>
        <n v="6.922121"/>
        <n v="11.45894"/>
        <n v="5.05584"/>
        <n v="2.760393"/>
        <n v="4.22208"/>
        <n v="13.8024"/>
        <n v="0.7409"/>
        <n v="2.78919"/>
        <n v="2.51532"/>
        <n v="4.40538"/>
        <n v="2.365428"/>
        <n v="0.023715"/>
        <n v="1.118812"/>
        <n v="6.173178"/>
        <n v="1.361242"/>
        <n v="2.916"/>
        <n v="256.646081"/>
        <n v="0.21613"/>
        <n v="1.684222"/>
        <n v="5.919624"/>
        <n v="2.25576"/>
        <n v="0.53568"/>
        <n v="2.413286"/>
        <n v="1.474228"/>
        <n v="2.935576"/>
        <n v="270.50601"/>
        <n v="5.153779"/>
        <n v="0.10143"/>
        <n v="2.553226"/>
        <n v="6.503546"/>
        <n v="0.98201"/>
        <n v="39297.554922"/>
        <n v="0.301783"/>
        <n v="1.973664"/>
        <n v="1.035573"/>
        <n v="0.44847"/>
        <n v="0.31212"/>
        <n v="6.475548"/>
        <n v="0.16309"/>
        <n v="1.723202"/>
        <n v="1.959058"/>
        <n v="1.723476"/>
        <n v="3.15432"/>
        <n v="2.98262"/>
        <n v="45.070122"/>
        <n v="1.65907"/>
        <n v="1.89662"/>
        <n v="0.74379"/>
        <n v="0.623008"/>
        <n v="3.325425"/>
        <n v="3.188838"/>
        <n v="175.699708"/>
        <n v="5.817722"/>
        <n v="3.44232"/>
        <n v="0.068949"/>
        <n v="3.9636"/>
        <n v="10.771428"/>
        <n v="2.880752"/>
        <n v="1.523452"/>
        <n v="2.49696"/>
        <n v="0.001488"/>
        <n v="0.231102"/>
        <n v="0.152848"/>
        <n v="0.520398"/>
        <n v="0.34356"/>
        <n v="5.005815"/>
        <n v="2.57616"/>
        <n v="0.15804"/>
        <n v="3.67488"/>
        <n v="0.341246"/>
        <n v="5.540531"/>
        <n v="1.7496"/>
        <n v="2.28511"/>
        <n v="0.139455"/>
        <n v="3.59928"/>
        <n v="1.118778"/>
        <n v="0.147935"/>
        <n v="5.002044"/>
        <n v="55.084735"/>
        <n v="0.144342"/>
        <n v="5.804496"/>
        <n v="5.89392"/>
        <n v="5.363291"/>
        <n v="0.00932"/>
        <n v="2.523576"/>
        <n v="1.88264"/>
        <n v="1.559992"/>
        <n v="7.79547"/>
        <n v="0.548485"/>
        <n v="5.724"/>
        <n v="3.444672"/>
        <n v="2.048116"/>
        <n v="66.14254"/>
        <n v="3.48408"/>
        <n v="0.605729"/>
        <n v="4.386586"/>
        <n v="0.341144"/>
        <n v="154.75549"/>
        <n v="0.972"/>
        <n v="0.14688"/>
        <n v="1.341527"/>
        <n v="6.350336"/>
        <n v="4.00824"/>
        <n v="1.815722"/>
        <n v="673.776347"/>
        <n v="0.149116"/>
        <n v="3.59496"/>
        <n v="0.305252"/>
        <n v="6.505019"/>
        <n v="0.876824"/>
        <n v="1.206672"/>
        <n v="3.69576"/>
        <n v="0.09783"/>
        <n v="3.46896"/>
        <n v="5.080717"/>
        <n v="5.544712"/>
        <n v="57.58129"/>
        <n v="0.3888"/>
        <n v="24.190792"/>
        <n v="4.84282"/>
        <n v="0.091575"/>
        <n v="1.169792"/>
        <n v="32.510463"/>
        <n v="0.054967"/>
        <n v="0.130696"/>
        <n v="10.02888"/>
        <n v="1.955802"/>
        <n v="6.588059"/>
        <n v="1.89576"/>
        <n v="0.030756"/>
        <n v="3.82392"/>
        <n v="1.126788"/>
        <n v="2.57257"/>
        <n v="0.74605"/>
        <n v="3.86712"/>
        <n v="11.139264"/>
        <n v="1.03608"/>
        <n v="5.317153"/>
        <n v="53.819554"/>
        <n v="2.583048"/>
        <n v="63.91152"/>
        <n v="4.075072"/>
        <n v="1.09452"/>
        <n v="0.171585"/>
        <n v="0.370099"/>
        <n v="95.022774"/>
        <n v="0.174352"/>
        <n v="0.146434"/>
        <n v="2.571744"/>
        <n v="6.559042"/>
        <n v="9.82008"/>
        <n v="0.001156"/>
        <n v="4.65967"/>
        <n v="3.444597"/>
        <n v="1.151214"/>
        <n v="4.57056"/>
        <n v="0.20803"/>
        <n v="11.686791"/>
        <n v="0.188055"/>
        <n v="3.156362"/>
        <n v="0.10584"/>
        <n v="0.33312"/>
        <n v="0.287334"/>
        <n v="0.011451"/>
        <n v="6.804"/>
        <n v="13.668425"/>
        <n v="2.5272"/>
        <n v="0.57978"/>
        <n v="0.30384"/>
        <n v="0.10935"/>
        <n v="1.433804"/>
        <n v="0.13761"/>
        <n v="1.423551"/>
        <n v="6.780432"/>
        <n v="5.85"/>
        <n v="0.395556"/>
        <n v="192.457068"/>
        <n v="1276.718481"/>
        <n v="1.59448"/>
        <n v="5.78449"/>
        <n v="1.50264"/>
        <n v="3.22416"/>
        <n v="0.548482"/>
        <n v="4.020648"/>
        <n v="2.285805"/>
        <n v="1.37268"/>
        <n v="120.162794"/>
        <n v="2.0808"/>
        <n v="3.085852"/>
        <n v="50.094261"/>
        <n v="6.119978"/>
        <n v="2.55672"/>
        <n v="3.71169"/>
        <n v="4.44312"/>
        <n v="3.740565"/>
        <n v="1.978648"/>
        <n v="10.642645"/>
        <n v="5.358672"/>
        <n v="3.468094"/>
        <n v="6.492542"/>
        <n v="3.59424"/>
        <n v="8.225832"/>
        <n v="2.56659"/>
        <n v="0.038318"/>
        <n v="4.061196"/>
        <n v="263.820834"/>
        <n v="1.2276"/>
        <n v="9.48456"/>
        <n v="2.941858"/>
        <n v="0.157388"/>
        <n v="0.21927"/>
        <n v="7.942957"/>
        <n v="3.62736"/>
        <n v="3.06288"/>
        <n v="3.624946"/>
        <n v="9.542282"/>
        <n v="0.119296"/>
        <n v="6.6096"/>
        <n v="1.517163"/>
        <n v="6.816304"/>
        <n v="0.510582"/>
        <n v="1.11888"/>
        <n v="1.8119"/>
        <n v="0.03495"/>
        <n v="0.286031"/>
        <n v="2.617818"/>
        <n v="1.001004"/>
        <n v="5.341668"/>
        <n v="0.022372"/>
        <n v="2.280602"/>
        <n v="5.425647"/>
        <n v="28.88712"/>
        <n v="14.827842"/>
        <n v="3.647994"/>
        <n v="1.39567"/>
        <n v="5.127996"/>
        <n v="0.021285"/>
        <n v="7.18776"/>
        <n v="2.48472"/>
        <n v="0.19193"/>
        <n v="0.32328"/>
        <n v="0.155745"/>
        <n v="10.369296"/>
        <n v="4.476829"/>
        <n v="5.705729"/>
        <n v="5.244532"/>
        <n v="2.154922"/>
        <n v="0.338912"/>
        <n v="1448.968934"/>
        <n v="0.09954"/>
        <n v="10.951742"/>
        <n v="1.1016"/>
        <n v="0.928212"/>
        <n v="0.37152"/>
        <n v="4.2633"/>
        <n v="0.225504"/>
        <n v="7.038088"/>
        <n v="4.074783"/>
        <n v="2.327592"/>
        <n v="1.839096"/>
        <n v="4.61304"/>
        <n v="3.672"/>
        <n v="0.030565"/>
        <n v="1.631388"/>
        <n v="0.68156"/>
        <n v="0.7776"/>
        <n v="0.38664"/>
        <n v="0.43826"/>
        <n v="0.019485"/>
        <n v="6.620282"/>
        <n v="0.179876"/>
        <n v="1.41409"/>
        <n v="2.670089"/>
        <n v="3.846837"/>
        <n v="4.36464"/>
        <n v="1.78268"/>
        <n v="0.167948"/>
        <n v="3.068271"/>
        <n v="0.0694"/>
        <n v="0.5832"/>
        <n v="1.439012"/>
        <n v="0.090288"/>
        <n v="3.527598"/>
        <n v="0.03536"/>
      </sharedItems>
    </cacheField>
    <cacheField name="余额消费" numFmtId="0">
      <sharedItems containsSemiMixedTypes="0" containsString="0" containsNumber="1" minValue="0" maxValue="110047.466798" count="755">
        <n v="110047.466798"/>
        <n v="94301.969356"/>
        <n v="52918.688898"/>
        <n v="18756.708174"/>
        <n v="12722.20455"/>
        <n v="8791.037808"/>
        <n v="7245.608456"/>
        <n v="6117.429403"/>
        <n v="6030.90909"/>
        <n v="4900.40095"/>
        <n v="4794.062608"/>
        <n v="4397.732228"/>
        <n v="3787.59907"/>
        <n v="3725.800231"/>
        <n v="3539.835396"/>
        <n v="3523.722842"/>
        <n v="3191.057526"/>
        <n v="2412.454506"/>
        <n v="1781.98747"/>
        <n v="1453.636672"/>
        <n v="1214.363846"/>
        <n v="1195.204038"/>
        <n v="925.610607"/>
        <n v="862.20951"/>
        <n v="821.911694"/>
        <n v="820.3464"/>
        <n v="661.170828"/>
        <n v="543.904016"/>
        <n v="538.417798"/>
        <n v="517.436076"/>
        <n v="504.422823"/>
        <n v="475.368395"/>
        <n v="471.90334"/>
        <n v="450.221382"/>
        <n v="429.604619"/>
        <n v="426.354118"/>
        <n v="370.855349"/>
        <n v="350.051436"/>
        <n v="324.787088"/>
        <n v="323.159202"/>
        <n v="320.840561"/>
        <n v="306.885698"/>
        <n v="294.870479"/>
        <n v="290.149308"/>
        <n v="289.88928"/>
        <n v="288.369492"/>
        <n v="253.807832"/>
        <n v="246.471588"/>
        <n v="244.192322"/>
        <n v="237.499343"/>
        <n v="215.315766"/>
        <n v="214.083429"/>
        <n v="211.045808"/>
        <n v="205.513159"/>
        <n v="200.11909"/>
        <n v="173.30208"/>
        <n v="170.653775"/>
        <n v="167.05233"/>
        <n v="161.344614"/>
        <n v="160.90869"/>
        <n v="160.868792"/>
        <n v="155.798768"/>
        <n v="152.838662"/>
        <n v="145.983038"/>
        <n v="144.513448"/>
        <n v="144.13846"/>
        <n v="140.578163"/>
        <n v="139.281596"/>
        <n v="137.173624"/>
        <n v="133.907084"/>
        <n v="128.736376"/>
        <n v="122.339019"/>
        <n v="121.70522"/>
        <n v="118.510199"/>
        <n v="112.948095"/>
        <n v="107.797004"/>
        <n v="107.728407"/>
        <n v="107.156068"/>
        <n v="106.549049"/>
        <n v="101.980838"/>
        <n v="95.674926"/>
        <n v="91.357471"/>
        <n v="89.3694"/>
        <n v="88.577651"/>
        <n v="88.065146"/>
        <n v="88.032351"/>
        <n v="85.685037"/>
        <n v="84.85394"/>
        <n v="84.53134"/>
        <n v="80.578856"/>
        <n v="78.447079"/>
        <n v="77.814334"/>
        <n v="73.849924"/>
        <n v="70.666104"/>
        <n v="70.115372"/>
        <n v="63.739946"/>
        <n v="63.327633"/>
        <n v="61.616128"/>
        <n v="60.099088"/>
        <n v="60.036178"/>
        <n v="59.097484"/>
        <n v="57.914986"/>
        <n v="57.9125"/>
        <n v="57.648394"/>
        <n v="57.60226"/>
        <n v="56.915856"/>
        <n v="56.586385"/>
        <n v="56.30295"/>
        <n v="55.890885"/>
        <n v="54.40032"/>
        <n v="53.046892"/>
        <n v="52.420821"/>
        <n v="50.75304"/>
        <n v="50.08653"/>
        <n v="50.082884"/>
        <n v="49.586697"/>
        <n v="48.56856"/>
        <n v="48.46776"/>
        <n v="48.413119"/>
        <n v="48.330436"/>
        <n v="48.141062"/>
        <n v="47.398258"/>
        <n v="46.94484"/>
        <n v="46.67743"/>
        <n v="46.379339"/>
        <n v="46.229546"/>
        <n v="46.141392"/>
        <n v="45.711901"/>
        <n v="44.358758"/>
        <n v="44.12554"/>
        <n v="41.737594"/>
        <n v="41.317424"/>
        <n v="41.243186"/>
        <n v="41.072308"/>
        <n v="40.982939"/>
        <n v="40.038145"/>
        <n v="39.795002"/>
        <n v="39.032528"/>
        <n v="38.772444"/>
        <n v="37.536664"/>
        <n v="37.17211"/>
        <n v="36.832092"/>
        <n v="36.111272"/>
        <n v="35.589881"/>
        <n v="35.518986"/>
        <n v="31.731678"/>
        <n v="31.460767"/>
        <n v="31.3656"/>
        <n v="31.228524"/>
        <n v="31.144488"/>
        <n v="30.84336"/>
        <n v="30.810988"/>
        <n v="30.655344"/>
        <n v="30.03603"/>
        <n v="29.965564"/>
        <n v="29.678142"/>
        <n v="29.554875"/>
        <n v="29.087834"/>
        <n v="28.9656"/>
        <n v="28.921824"/>
        <n v="28.663194"/>
        <n v="28.345418"/>
        <n v="28.322752"/>
        <n v="28.208696"/>
        <n v="27.20508"/>
        <n v="26.95623"/>
        <n v="26.65753"/>
        <n v="25.07546"/>
        <n v="24.62496"/>
        <n v="24.124248"/>
        <n v="23.811124"/>
        <n v="23.736544"/>
        <n v="23.685512"/>
        <n v="23.563234"/>
        <n v="22.718053"/>
        <n v="22.561972"/>
        <n v="22.49448"/>
        <n v="22.247657"/>
        <n v="21.723989"/>
        <n v="21.593508"/>
        <n v="21.433432"/>
        <n v="21.38112"/>
        <n v="21.188"/>
        <n v="20.84352"/>
        <n v="20.83608"/>
        <n v="20.11023"/>
        <n v="20.006312"/>
        <n v="19.700242"/>
        <n v="19.446268"/>
        <n v="19.42521"/>
        <n v="19.106362"/>
        <n v="18.89568"/>
        <n v="18.860667"/>
        <n v="18.22509"/>
        <n v="17.998435"/>
        <n v="17.66656"/>
        <n v="17.554048"/>
        <n v="17.389035"/>
        <n v="17.371628"/>
        <n v="17.295504"/>
        <n v="16.99852"/>
        <n v="16.96706"/>
        <n v="16.90347"/>
        <n v="16.897023"/>
        <n v="16.537874"/>
        <n v="16.492476"/>
        <n v="16.455392"/>
        <n v="16.366386"/>
        <n v="15.945588"/>
        <n v="15.823604"/>
        <n v="15.59316"/>
        <n v="15.558926"/>
        <n v="15.3576"/>
        <n v="14.949495"/>
        <n v="14.935403"/>
        <n v="14.921496"/>
        <n v="14.796"/>
        <n v="14.507824"/>
        <n v="14.334626"/>
        <n v="14.19716"/>
        <n v="13.921284"/>
        <n v="13.890994"/>
        <n v="13.73302"/>
        <n v="13.610736"/>
        <n v="13.575628"/>
        <n v="13.137686"/>
        <n v="13.069966"/>
        <n v="12.429531"/>
        <n v="12.361116"/>
        <n v="12.30984"/>
        <n v="12.12408"/>
        <n v="12.069064"/>
        <n v="12.059148"/>
        <n v="12.036976"/>
        <n v="11.676978"/>
        <n v="11.5812"/>
        <n v="11.502085"/>
        <n v="11.476182"/>
        <n v="11.437507"/>
        <n v="11.418316"/>
        <n v="11.399111"/>
        <n v="11.394439"/>
        <n v="11.382984"/>
        <n v="11.27472"/>
        <n v="11.116558"/>
        <n v="11.032362"/>
        <n v="10.971878"/>
        <n v="10.744096"/>
        <n v="10.726505"/>
        <n v="10.644378"/>
        <n v="10.614847"/>
        <n v="10.532838"/>
        <n v="10.280564"/>
        <n v="10.27297"/>
        <n v="10.258664"/>
        <n v="10.147533"/>
        <n v="10.103346"/>
        <n v="10.098686"/>
        <n v="10.094924"/>
        <n v="10.090764"/>
        <n v="10.08035"/>
        <n v="10.066998"/>
        <n v="10.066532"/>
        <n v="9.998816"/>
        <n v="9.84336"/>
        <n v="9.758506"/>
        <n v="9.526904"/>
        <n v="9.390684"/>
        <n v="9.25344"/>
        <n v="9.1352"/>
        <n v="9.123144"/>
        <n v="9.087012"/>
        <n v="8.979354"/>
        <n v="8.961489"/>
        <n v="8.95776"/>
        <n v="8.911268"/>
        <n v="8.757138"/>
        <n v="8.729785"/>
        <n v="8.707676"/>
        <n v="8.56275"/>
        <n v="8.526354"/>
        <n v="8.433488"/>
        <n v="8.382518"/>
        <n v="8.300392"/>
        <n v="8.294983"/>
        <n v="8.1648"/>
        <n v="8.150806"/>
        <n v="7.996746"/>
        <n v="7.989104"/>
        <n v="7.98491"/>
        <n v="7.87104"/>
        <n v="7.80241"/>
        <n v="7.79385"/>
        <n v="7.708106"/>
        <n v="7.702048"/>
        <n v="7.585744"/>
        <n v="7.56574"/>
        <n v="7.55599"/>
        <n v="7.473528"/>
        <n v="7.437844"/>
        <n v="7.424737"/>
        <n v="7.364106"/>
        <n v="7.362665"/>
        <n v="7.339404"/>
        <n v="7.321491"/>
        <n v="7.170342"/>
        <n v="7.013664"/>
        <n v="6.971145"/>
        <n v="6.912336"/>
        <n v="6.855432"/>
        <n v="6.835596"/>
        <n v="6.807328"/>
        <n v="6.756378"/>
        <n v="6.70536"/>
        <n v="6.686064"/>
        <n v="6.679508"/>
        <n v="6.66613"/>
        <n v="6.61487"/>
        <n v="6.504428"/>
        <n v="6.45876"/>
        <n v="6.457828"/>
        <n v="6.441014"/>
        <n v="6.368453"/>
        <n v="6.35158"/>
        <n v="6.23741"/>
        <n v="6.19533"/>
        <n v="6.173144"/>
        <n v="6.163316"/>
        <n v="5.970606"/>
        <n v="5.889308"/>
        <n v="5.86084"/>
        <n v="5.8572"/>
        <n v="5.855756"/>
        <n v="5.85296"/>
        <n v="5.82097"/>
        <n v="5.796"/>
        <n v="5.722014"/>
        <n v="5.619539"/>
        <n v="5.545866"/>
        <n v="5.380769"/>
        <n v="5.378674"/>
        <n v="5.328344"/>
        <n v="5.29609"/>
        <n v="5.293799"/>
        <n v="5.281384"/>
        <n v="5.269284"/>
        <n v="5.23728"/>
        <n v="5.223856"/>
        <n v="5.148"/>
        <n v="5.025344"/>
        <n v="5.003908"/>
        <n v="4.98514"/>
        <n v="4.972472"/>
        <n v="4.882042"/>
        <n v="4.86567"/>
        <n v="4.860846"/>
        <n v="4.85928"/>
        <n v="4.85712"/>
        <n v="4.843764"/>
        <n v="4.83984"/>
        <n v="4.826828"/>
        <n v="4.81802"/>
        <n v="4.732537"/>
        <n v="4.675264"/>
        <n v="4.66848"/>
        <n v="4.617876"/>
        <n v="4.602228"/>
        <n v="4.588702"/>
        <n v="4.577984"/>
        <n v="4.511958"/>
        <n v="4.479192"/>
        <n v="4.442844"/>
        <n v="4.417176"/>
        <n v="4.386458"/>
        <n v="4.383714"/>
        <n v="4.319456"/>
        <n v="4.309102"/>
        <n v="4.302404"/>
        <n v="4.181748"/>
        <n v="4.171166"/>
        <n v="4.144192"/>
        <n v="4.089078"/>
        <n v="4.078856"/>
        <n v="4.032"/>
        <n v="3.98197"/>
        <n v="3.92364"/>
        <n v="3.843102"/>
        <n v="3.776615"/>
        <n v="3.753446"/>
        <n v="3.732552"/>
        <n v="3.711834"/>
        <n v="3.70332"/>
        <n v="3.695094"/>
        <n v="3.6864"/>
        <n v="3.672"/>
        <n v="3.647848"/>
        <n v="3.643265"/>
        <n v="3.610568"/>
        <n v="3.59568"/>
        <n v="3.58992"/>
        <n v="3.587734"/>
        <n v="3.58488"/>
        <n v="3.57768"/>
        <n v="3.56904"/>
        <n v="3.548545"/>
        <n v="3.52086"/>
        <n v="3.515504"/>
        <n v="3.503752"/>
        <n v="3.449355"/>
        <n v="3.412984"/>
        <n v="3.41029"/>
        <n v="3.40326"/>
        <n v="3.343084"/>
        <n v="3.334696"/>
        <n v="3.326492"/>
        <n v="3.265728"/>
        <n v="3.231"/>
        <n v="3.221548"/>
        <n v="3.200034"/>
        <n v="3.200022"/>
        <n v="3.187011"/>
        <n v="3.182616"/>
        <n v="3.153817"/>
        <n v="3.118125"/>
        <n v="3.1059"/>
        <n v="3.077145"/>
        <n v="3.025783"/>
        <n v="3.005975"/>
        <n v="3.0057"/>
        <n v="2.996846"/>
        <n v="2.916"/>
        <n v="2.913218"/>
        <n v="2.88288"/>
        <n v="2.869425"/>
        <n v="2.867868"/>
        <n v="2.84328"/>
        <n v="2.836076"/>
        <n v="2.83392"/>
        <n v="2.7216"/>
        <n v="2.685092"/>
        <n v="2.666578"/>
        <n v="2.662258"/>
        <n v="2.6604"/>
        <n v="2.636953"/>
        <n v="2.60497"/>
        <n v="2.599555"/>
        <n v="2.519914"/>
        <n v="2.4912"/>
        <n v="2.48256"/>
        <n v="2.481024"/>
        <n v="2.474763"/>
        <n v="2.44647"/>
        <n v="2.3533"/>
        <n v="2.326806"/>
        <n v="2.219558"/>
        <n v="2.19672"/>
        <n v="2.174356"/>
        <n v="2.13282"/>
        <n v="2.12496"/>
        <n v="2.121163"/>
        <n v="2.1203"/>
        <n v="2.115555"/>
        <n v="2.106"/>
        <n v="2.104922"/>
        <n v="2.090812"/>
        <n v="2.026702"/>
        <n v="1.999606"/>
        <n v="1.9805"/>
        <n v="1.944"/>
        <n v="1.935298"/>
        <n v="1.916658"/>
        <n v="1.91503"/>
        <n v="1.904253"/>
        <n v="1.899478"/>
        <n v="1.890096"/>
        <n v="1.859827"/>
        <n v="1.843012"/>
        <n v="1.83448"/>
        <n v="1.821114"/>
        <n v="1.817455"/>
        <n v="1.81041"/>
        <n v="1.763848"/>
        <n v="1.7496"/>
        <n v="1.71063"/>
        <n v="1.630068"/>
        <n v="1.628496"/>
        <n v="1.615136"/>
        <n v="1.60845"/>
        <n v="1.604322"/>
        <n v="1.50984"/>
        <n v="1.470976"/>
        <n v="1.46664"/>
        <n v="1.466036"/>
        <n v="1.453637"/>
        <n v="1.413378"/>
        <n v="1.408404"/>
        <n v="1.399508"/>
        <n v="1.387282"/>
        <n v="1.3608"/>
        <n v="1.34912"/>
        <n v="1.343012"/>
        <n v="1.330875"/>
        <n v="1.291212"/>
        <n v="1.270782"/>
        <n v="1.253948"/>
        <n v="1.233134"/>
        <n v="1.22724"/>
        <n v="1.22682"/>
        <n v="1.176033"/>
        <n v="1.1628"/>
        <n v="1.16034"/>
        <n v="1.137537"/>
        <n v="1.11168"/>
        <n v="1.10304"/>
        <n v="1.1016"/>
        <n v="1.09743"/>
        <n v="1.092101"/>
        <n v="1.08828"/>
        <n v="1.08648"/>
        <n v="1.08578"/>
        <n v="1.079715"/>
        <n v="1.02735"/>
        <n v="1.015114"/>
        <n v="1.010072"/>
        <n v="0.998174"/>
        <n v="0.99724"/>
        <n v="0.972"/>
        <n v="0.95616"/>
        <n v="0.895318"/>
        <n v="0.888196"/>
        <n v="0.879519"/>
        <n v="0.871055"/>
        <n v="0.865828"/>
        <n v="0.857906"/>
        <n v="0.831344"/>
        <n v="0.80712"/>
        <n v="0.801857"/>
        <n v="0.793524"/>
        <n v="0.7776"/>
        <n v="0.7456"/>
        <n v="0.721834"/>
        <n v="0.720684"/>
        <n v="0.709268"/>
        <n v="0.708786"/>
        <n v="0.695272"/>
        <n v="0.636556"/>
        <n v="0.61341"/>
        <n v="0.600674"/>
        <n v="0.592508"/>
        <n v="0.588321"/>
        <n v="0.587543"/>
        <n v="0.5832"/>
        <n v="0.578878"/>
        <n v="0.57753"/>
        <n v="0.573885"/>
        <n v="0.564102"/>
        <n v="0.563843"/>
        <n v="0.55045"/>
        <n v="0.548482"/>
        <n v="0.53124"/>
        <n v="0.51768"/>
        <n v="0.508157"/>
        <n v="0.49968"/>
        <n v="0.492096"/>
        <n v="0.488061"/>
        <n v="0.48312"/>
        <n v="0.473406"/>
        <n v="0.462416"/>
        <n v="0.45901"/>
        <n v="0.456705"/>
        <n v="0.443046"/>
        <n v="0.442532"/>
        <n v="0.427788"/>
        <n v="0.413865"/>
        <n v="0.410265"/>
        <n v="0.390816"/>
        <n v="0.3888"/>
        <n v="0.382586"/>
        <n v="0.37476"/>
        <n v="0.363946"/>
        <n v="0.35568"/>
        <n v="0.352296"/>
        <n v="0.350284"/>
        <n v="0.341212"/>
        <n v="0.341178"/>
        <n v="0.339282"/>
        <n v="0.331792"/>
        <n v="0.331038"/>
        <n v="0.32985"/>
        <n v="0.328434"/>
        <n v="0.328064"/>
        <n v="0.32427"/>
        <n v="0.312901"/>
        <n v="0.310822"/>
        <n v="0.309924"/>
        <n v="0.304464"/>
        <n v="0.303832"/>
        <n v="0.29824"/>
        <n v="0.297774"/>
        <n v="0.29376"/>
        <n v="0.281464"/>
        <n v="0.278216"/>
        <n v="0.266552"/>
        <n v="0.263756"/>
        <n v="0.262358"/>
        <n v="0.262332"/>
        <n v="0.261888"/>
        <n v="0.260028"/>
        <n v="0.254902"/>
        <n v="0.254004"/>
        <n v="0.24984"/>
        <n v="0.247572"/>
        <n v="0.245329"/>
        <n v="0.243718"/>
        <n v="0.243252"/>
        <n v="0.23922"/>
        <n v="0.23596"/>
        <n v="0.233466"/>
        <n v="0.2268"/>
        <n v="0.217916"/>
        <n v="0.21528"/>
        <n v="0.213894"/>
        <n v="0.206812"/>
        <n v="0.205948"/>
        <n v="0.20271"/>
        <n v="0.198982"/>
        <n v="0.197118"/>
        <n v="0.1944"/>
        <n v="0.19404"/>
        <n v="0.19368"/>
        <n v="0.191246"/>
        <n v="0.19106"/>
        <n v="0.19053"/>
        <n v="0.18954"/>
        <n v="0.189045"/>
        <n v="0.18882"/>
        <n v="0.1881"/>
        <n v="0.187332"/>
        <n v="0.18407"/>
        <n v="0.183216"/>
        <n v="0.178478"/>
        <n v="0.178372"/>
        <n v="0.177546"/>
        <n v="0.17708"/>
        <n v="0.176148"/>
        <n v="0.17475"/>
        <n v="0.170556"/>
        <n v="0.169624"/>
        <n v="0.169335"/>
        <n v="0.168391"/>
        <n v="0.167294"/>
        <n v="0.166362"/>
        <n v="0.165896"/>
        <n v="0.16543"/>
        <n v="0.164964"/>
        <n v="0.164498"/>
        <n v="0.163566"/>
        <n v="0.161702"/>
        <n v="0.158906"/>
        <n v="0.156576"/>
        <n v="0.156207"/>
        <n v="0.15611"/>
        <n v="0.154712"/>
        <n v="0.154246"/>
        <n v="0.151916"/>
        <n v="0.15145"/>
        <n v="0.150945"/>
        <n v="0.150052"/>
        <n v="0.14688"/>
        <n v="0.146115"/>
        <n v="0.143956"/>
        <n v="0.142596"/>
        <n v="0.142324"/>
        <n v="0.141198"/>
        <n v="0.139754"/>
        <n v="0.139608"/>
        <n v="0.13932"/>
        <n v="0.138402"/>
        <n v="0.136538"/>
        <n v="0.135606"/>
        <n v="0.131513"/>
        <n v="0.12573"/>
        <n v="0.122092"/>
        <n v="0.12166"/>
        <n v="0.118364"/>
        <n v="0.116966"/>
        <n v="0.114636"/>
        <n v="0.113238"/>
        <n v="0.106714"/>
        <n v="0.105316"/>
        <n v="0.104853"/>
        <n v="0.10248"/>
        <n v="0.099724"/>
        <n v="0.098792"/>
        <n v="0.09873"/>
        <n v="0.096462"/>
        <n v="0.095424"/>
        <n v="0.094958"/>
        <n v="0.09306"/>
        <n v="0.092268"/>
        <n v="0.091802"/>
        <n v="0.080152"/>
        <n v="0.070094"/>
        <n v="0.066172"/>
        <n v="0.06524"/>
        <n v="0.064774"/>
        <n v="0.06291"/>
        <n v="0.061978"/>
        <n v="0.061046"/>
        <n v="0.059182"/>
        <n v="0.058716"/>
        <n v="0.057371"/>
        <n v="0.056848"/>
        <n v="0.056295"/>
        <n v="0.055575"/>
        <n v="0.055118"/>
        <n v="0.049862"/>
        <n v="0.04893"/>
        <n v="0.04779"/>
        <n v="0.047532"/>
        <n v="0.04505"/>
        <n v="0.043804"/>
        <n v="0.04164"/>
        <n v="0.040946"/>
        <n v="0.03888"/>
        <n v="0.03438"/>
        <n v="0.032154"/>
        <n v="0.03177"/>
        <n v="0.030536"/>
        <n v="0.029824"/>
        <n v="0.027494"/>
        <n v="0.026096"/>
        <n v="0.02563"/>
        <n v="0.020856"/>
        <n v="0.020504"/>
        <n v="0.018174"/>
        <n v="0.01719"/>
        <n v="0.015844"/>
        <n v="0.0147"/>
        <n v="0.014446"/>
        <n v="0.014112"/>
        <n v="0.013048"/>
        <n v="0.012116"/>
        <n v="0.011592"/>
        <n v="0.011184"/>
        <n v="0.00932"/>
        <n v="0.009315"/>
        <n v="0.006608"/>
        <n v="0.006524"/>
        <n v="0.005592"/>
        <n v="0.005126"/>
        <n v="0.003728"/>
        <n v="0.003262"/>
        <n v="0.000224"/>
        <n v="0"/>
      </sharedItems>
    </cacheField>
    <cacheField name="状态" numFmtId="0">
      <sharedItems containsString="0" containsBlank="1" containsNonDate="0" count="1">
        <m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30">
  <r>
    <x v="0"/>
    <x v="0"/>
    <x v="0"/>
    <x v="0"/>
    <x v="0"/>
    <x v="0"/>
    <x v="0"/>
    <x v="0"/>
    <x v="0"/>
  </r>
  <r>
    <x v="1"/>
    <x v="0"/>
    <x v="0"/>
    <x v="0"/>
    <x v="1"/>
    <x v="1"/>
    <x v="0"/>
    <x v="1"/>
    <x v="0"/>
  </r>
  <r>
    <x v="2"/>
    <x v="0"/>
    <x v="0"/>
    <x v="0"/>
    <x v="2"/>
    <x v="2"/>
    <x v="0"/>
    <x v="2"/>
    <x v="0"/>
  </r>
  <r>
    <x v="3"/>
    <x v="0"/>
    <x v="0"/>
    <x v="0"/>
    <x v="3"/>
    <x v="3"/>
    <x v="0"/>
    <x v="3"/>
    <x v="0"/>
  </r>
  <r>
    <x v="4"/>
    <x v="0"/>
    <x v="0"/>
    <x v="0"/>
    <x v="4"/>
    <x v="4"/>
    <x v="0"/>
    <x v="4"/>
    <x v="0"/>
  </r>
  <r>
    <x v="5"/>
    <x v="1"/>
    <x v="0"/>
    <x v="1"/>
    <x v="5"/>
    <x v="5"/>
    <x v="0"/>
    <x v="5"/>
    <x v="0"/>
  </r>
  <r>
    <x v="6"/>
    <x v="0"/>
    <x v="0"/>
    <x v="1"/>
    <x v="5"/>
    <x v="6"/>
    <x v="0"/>
    <x v="6"/>
    <x v="0"/>
  </r>
  <r>
    <x v="7"/>
    <x v="0"/>
    <x v="0"/>
    <x v="0"/>
    <x v="6"/>
    <x v="7"/>
    <x v="0"/>
    <x v="7"/>
    <x v="0"/>
  </r>
  <r>
    <x v="8"/>
    <x v="0"/>
    <x v="0"/>
    <x v="1"/>
    <x v="5"/>
    <x v="8"/>
    <x v="0"/>
    <x v="8"/>
    <x v="0"/>
  </r>
  <r>
    <x v="9"/>
    <x v="1"/>
    <x v="0"/>
    <x v="0"/>
    <x v="7"/>
    <x v="9"/>
    <x v="0"/>
    <x v="9"/>
    <x v="0"/>
  </r>
  <r>
    <x v="10"/>
    <x v="2"/>
    <x v="0"/>
    <x v="1"/>
    <x v="5"/>
    <x v="10"/>
    <x v="0"/>
    <x v="10"/>
    <x v="0"/>
  </r>
  <r>
    <x v="11"/>
    <x v="1"/>
    <x v="0"/>
    <x v="0"/>
    <x v="8"/>
    <x v="11"/>
    <x v="0"/>
    <x v="11"/>
    <x v="0"/>
  </r>
  <r>
    <x v="12"/>
    <x v="0"/>
    <x v="0"/>
    <x v="1"/>
    <x v="5"/>
    <x v="12"/>
    <x v="0"/>
    <x v="12"/>
    <x v="0"/>
  </r>
  <r>
    <x v="13"/>
    <x v="0"/>
    <x v="0"/>
    <x v="0"/>
    <x v="9"/>
    <x v="13"/>
    <x v="0"/>
    <x v="13"/>
    <x v="0"/>
  </r>
  <r>
    <x v="14"/>
    <x v="0"/>
    <x v="0"/>
    <x v="1"/>
    <x v="5"/>
    <x v="14"/>
    <x v="0"/>
    <x v="14"/>
    <x v="0"/>
  </r>
  <r>
    <x v="15"/>
    <x v="0"/>
    <x v="0"/>
    <x v="1"/>
    <x v="5"/>
    <x v="15"/>
    <x v="0"/>
    <x v="15"/>
    <x v="0"/>
  </r>
  <r>
    <x v="1"/>
    <x v="3"/>
    <x v="0"/>
    <x v="0"/>
    <x v="1"/>
    <x v="16"/>
    <x v="1"/>
    <x v="16"/>
    <x v="0"/>
  </r>
  <r>
    <x v="16"/>
    <x v="0"/>
    <x v="0"/>
    <x v="0"/>
    <x v="10"/>
    <x v="17"/>
    <x v="0"/>
    <x v="17"/>
    <x v="0"/>
  </r>
  <r>
    <x v="17"/>
    <x v="0"/>
    <x v="0"/>
    <x v="1"/>
    <x v="5"/>
    <x v="18"/>
    <x v="0"/>
    <x v="18"/>
    <x v="0"/>
  </r>
  <r>
    <x v="18"/>
    <x v="0"/>
    <x v="0"/>
    <x v="1"/>
    <x v="5"/>
    <x v="19"/>
    <x v="0"/>
    <x v="19"/>
    <x v="0"/>
  </r>
  <r>
    <x v="19"/>
    <x v="0"/>
    <x v="0"/>
    <x v="1"/>
    <x v="5"/>
    <x v="20"/>
    <x v="0"/>
    <x v="20"/>
    <x v="0"/>
  </r>
  <r>
    <x v="20"/>
    <x v="1"/>
    <x v="0"/>
    <x v="0"/>
    <x v="11"/>
    <x v="21"/>
    <x v="2"/>
    <x v="21"/>
    <x v="0"/>
  </r>
  <r>
    <x v="21"/>
    <x v="1"/>
    <x v="0"/>
    <x v="0"/>
    <x v="12"/>
    <x v="22"/>
    <x v="0"/>
    <x v="22"/>
    <x v="0"/>
  </r>
  <r>
    <x v="22"/>
    <x v="0"/>
    <x v="0"/>
    <x v="0"/>
    <x v="13"/>
    <x v="23"/>
    <x v="0"/>
    <x v="23"/>
    <x v="0"/>
  </r>
  <r>
    <x v="23"/>
    <x v="0"/>
    <x v="0"/>
    <x v="1"/>
    <x v="5"/>
    <x v="24"/>
    <x v="0"/>
    <x v="24"/>
    <x v="0"/>
  </r>
  <r>
    <x v="24"/>
    <x v="0"/>
    <x v="0"/>
    <x v="1"/>
    <x v="5"/>
    <x v="25"/>
    <x v="0"/>
    <x v="25"/>
    <x v="0"/>
  </r>
  <r>
    <x v="25"/>
    <x v="0"/>
    <x v="0"/>
    <x v="1"/>
    <x v="5"/>
    <x v="26"/>
    <x v="0"/>
    <x v="26"/>
    <x v="0"/>
  </r>
  <r>
    <x v="26"/>
    <x v="0"/>
    <x v="0"/>
    <x v="1"/>
    <x v="5"/>
    <x v="27"/>
    <x v="0"/>
    <x v="27"/>
    <x v="0"/>
  </r>
  <r>
    <x v="27"/>
    <x v="0"/>
    <x v="0"/>
    <x v="0"/>
    <x v="14"/>
    <x v="28"/>
    <x v="0"/>
    <x v="28"/>
    <x v="0"/>
  </r>
  <r>
    <x v="28"/>
    <x v="0"/>
    <x v="0"/>
    <x v="1"/>
    <x v="5"/>
    <x v="29"/>
    <x v="0"/>
    <x v="29"/>
    <x v="0"/>
  </r>
  <r>
    <x v="29"/>
    <x v="1"/>
    <x v="0"/>
    <x v="1"/>
    <x v="5"/>
    <x v="30"/>
    <x v="0"/>
    <x v="30"/>
    <x v="0"/>
  </r>
  <r>
    <x v="30"/>
    <x v="0"/>
    <x v="0"/>
    <x v="0"/>
    <x v="15"/>
    <x v="31"/>
    <x v="0"/>
    <x v="31"/>
    <x v="0"/>
  </r>
  <r>
    <x v="31"/>
    <x v="1"/>
    <x v="0"/>
    <x v="0"/>
    <x v="16"/>
    <x v="32"/>
    <x v="0"/>
    <x v="32"/>
    <x v="0"/>
  </r>
  <r>
    <x v="22"/>
    <x v="4"/>
    <x v="0"/>
    <x v="0"/>
    <x v="13"/>
    <x v="33"/>
    <x v="3"/>
    <x v="33"/>
    <x v="0"/>
  </r>
  <r>
    <x v="32"/>
    <x v="1"/>
    <x v="0"/>
    <x v="1"/>
    <x v="5"/>
    <x v="34"/>
    <x v="0"/>
    <x v="34"/>
    <x v="0"/>
  </r>
  <r>
    <x v="33"/>
    <x v="0"/>
    <x v="0"/>
    <x v="0"/>
    <x v="17"/>
    <x v="35"/>
    <x v="0"/>
    <x v="35"/>
    <x v="0"/>
  </r>
  <r>
    <x v="34"/>
    <x v="1"/>
    <x v="0"/>
    <x v="0"/>
    <x v="18"/>
    <x v="36"/>
    <x v="0"/>
    <x v="36"/>
    <x v="0"/>
  </r>
  <r>
    <x v="35"/>
    <x v="1"/>
    <x v="0"/>
    <x v="1"/>
    <x v="5"/>
    <x v="37"/>
    <x v="0"/>
    <x v="37"/>
    <x v="0"/>
  </r>
  <r>
    <x v="21"/>
    <x v="0"/>
    <x v="0"/>
    <x v="0"/>
    <x v="12"/>
    <x v="38"/>
    <x v="0"/>
    <x v="38"/>
    <x v="0"/>
  </r>
  <r>
    <x v="36"/>
    <x v="1"/>
    <x v="0"/>
    <x v="1"/>
    <x v="5"/>
    <x v="39"/>
    <x v="0"/>
    <x v="39"/>
    <x v="0"/>
  </r>
  <r>
    <x v="37"/>
    <x v="4"/>
    <x v="0"/>
    <x v="0"/>
    <x v="19"/>
    <x v="40"/>
    <x v="3"/>
    <x v="40"/>
    <x v="0"/>
  </r>
  <r>
    <x v="38"/>
    <x v="1"/>
    <x v="0"/>
    <x v="1"/>
    <x v="5"/>
    <x v="41"/>
    <x v="0"/>
    <x v="41"/>
    <x v="0"/>
  </r>
  <r>
    <x v="4"/>
    <x v="5"/>
    <x v="0"/>
    <x v="0"/>
    <x v="4"/>
    <x v="42"/>
    <x v="4"/>
    <x v="42"/>
    <x v="0"/>
  </r>
  <r>
    <x v="39"/>
    <x v="0"/>
    <x v="0"/>
    <x v="1"/>
    <x v="5"/>
    <x v="43"/>
    <x v="0"/>
    <x v="43"/>
    <x v="0"/>
  </r>
  <r>
    <x v="40"/>
    <x v="1"/>
    <x v="0"/>
    <x v="1"/>
    <x v="5"/>
    <x v="44"/>
    <x v="0"/>
    <x v="44"/>
    <x v="0"/>
  </r>
  <r>
    <x v="41"/>
    <x v="1"/>
    <x v="0"/>
    <x v="1"/>
    <x v="5"/>
    <x v="45"/>
    <x v="0"/>
    <x v="45"/>
    <x v="0"/>
  </r>
  <r>
    <x v="42"/>
    <x v="0"/>
    <x v="0"/>
    <x v="0"/>
    <x v="20"/>
    <x v="46"/>
    <x v="0"/>
    <x v="46"/>
    <x v="0"/>
  </r>
  <r>
    <x v="43"/>
    <x v="0"/>
    <x v="0"/>
    <x v="1"/>
    <x v="5"/>
    <x v="47"/>
    <x v="0"/>
    <x v="47"/>
    <x v="0"/>
  </r>
  <r>
    <x v="44"/>
    <x v="1"/>
    <x v="0"/>
    <x v="1"/>
    <x v="5"/>
    <x v="48"/>
    <x v="0"/>
    <x v="48"/>
    <x v="0"/>
  </r>
  <r>
    <x v="2"/>
    <x v="5"/>
    <x v="0"/>
    <x v="0"/>
    <x v="2"/>
    <x v="49"/>
    <x v="4"/>
    <x v="49"/>
    <x v="0"/>
  </r>
  <r>
    <x v="45"/>
    <x v="1"/>
    <x v="0"/>
    <x v="1"/>
    <x v="5"/>
    <x v="50"/>
    <x v="0"/>
    <x v="50"/>
    <x v="0"/>
  </r>
  <r>
    <x v="46"/>
    <x v="1"/>
    <x v="0"/>
    <x v="1"/>
    <x v="5"/>
    <x v="51"/>
    <x v="0"/>
    <x v="51"/>
    <x v="0"/>
  </r>
  <r>
    <x v="47"/>
    <x v="1"/>
    <x v="0"/>
    <x v="1"/>
    <x v="5"/>
    <x v="52"/>
    <x v="0"/>
    <x v="52"/>
    <x v="0"/>
  </r>
  <r>
    <x v="48"/>
    <x v="1"/>
    <x v="0"/>
    <x v="1"/>
    <x v="5"/>
    <x v="53"/>
    <x v="5"/>
    <x v="53"/>
    <x v="0"/>
  </r>
  <r>
    <x v="49"/>
    <x v="1"/>
    <x v="0"/>
    <x v="1"/>
    <x v="5"/>
    <x v="54"/>
    <x v="0"/>
    <x v="54"/>
    <x v="0"/>
  </r>
  <r>
    <x v="13"/>
    <x v="5"/>
    <x v="0"/>
    <x v="0"/>
    <x v="9"/>
    <x v="55"/>
    <x v="4"/>
    <x v="55"/>
    <x v="0"/>
  </r>
  <r>
    <x v="0"/>
    <x v="5"/>
    <x v="0"/>
    <x v="0"/>
    <x v="0"/>
    <x v="56"/>
    <x v="4"/>
    <x v="56"/>
    <x v="0"/>
  </r>
  <r>
    <x v="50"/>
    <x v="1"/>
    <x v="0"/>
    <x v="1"/>
    <x v="5"/>
    <x v="57"/>
    <x v="0"/>
    <x v="57"/>
    <x v="0"/>
  </r>
  <r>
    <x v="51"/>
    <x v="1"/>
    <x v="0"/>
    <x v="1"/>
    <x v="5"/>
    <x v="58"/>
    <x v="0"/>
    <x v="58"/>
    <x v="0"/>
  </r>
  <r>
    <x v="52"/>
    <x v="0"/>
    <x v="0"/>
    <x v="1"/>
    <x v="5"/>
    <x v="59"/>
    <x v="5"/>
    <x v="59"/>
    <x v="0"/>
  </r>
  <r>
    <x v="53"/>
    <x v="1"/>
    <x v="0"/>
    <x v="1"/>
    <x v="5"/>
    <x v="60"/>
    <x v="0"/>
    <x v="60"/>
    <x v="0"/>
  </r>
  <r>
    <x v="54"/>
    <x v="1"/>
    <x v="0"/>
    <x v="1"/>
    <x v="5"/>
    <x v="61"/>
    <x v="5"/>
    <x v="61"/>
    <x v="0"/>
  </r>
  <r>
    <x v="37"/>
    <x v="5"/>
    <x v="0"/>
    <x v="0"/>
    <x v="19"/>
    <x v="62"/>
    <x v="4"/>
    <x v="62"/>
    <x v="0"/>
  </r>
  <r>
    <x v="55"/>
    <x v="1"/>
    <x v="0"/>
    <x v="1"/>
    <x v="5"/>
    <x v="63"/>
    <x v="0"/>
    <x v="63"/>
    <x v="0"/>
  </r>
  <r>
    <x v="56"/>
    <x v="5"/>
    <x v="0"/>
    <x v="0"/>
    <x v="21"/>
    <x v="64"/>
    <x v="4"/>
    <x v="64"/>
    <x v="0"/>
  </r>
  <r>
    <x v="57"/>
    <x v="1"/>
    <x v="0"/>
    <x v="1"/>
    <x v="5"/>
    <x v="65"/>
    <x v="0"/>
    <x v="65"/>
    <x v="0"/>
  </r>
  <r>
    <x v="58"/>
    <x v="1"/>
    <x v="0"/>
    <x v="1"/>
    <x v="5"/>
    <x v="66"/>
    <x v="5"/>
    <x v="66"/>
    <x v="0"/>
  </r>
  <r>
    <x v="59"/>
    <x v="1"/>
    <x v="0"/>
    <x v="1"/>
    <x v="5"/>
    <x v="67"/>
    <x v="6"/>
    <x v="67"/>
    <x v="0"/>
  </r>
  <r>
    <x v="60"/>
    <x v="0"/>
    <x v="0"/>
    <x v="1"/>
    <x v="5"/>
    <x v="68"/>
    <x v="0"/>
    <x v="68"/>
    <x v="0"/>
  </r>
  <r>
    <x v="37"/>
    <x v="1"/>
    <x v="0"/>
    <x v="0"/>
    <x v="19"/>
    <x v="69"/>
    <x v="0"/>
    <x v="69"/>
    <x v="0"/>
  </r>
  <r>
    <x v="61"/>
    <x v="0"/>
    <x v="0"/>
    <x v="1"/>
    <x v="5"/>
    <x v="70"/>
    <x v="0"/>
    <x v="70"/>
    <x v="0"/>
  </r>
  <r>
    <x v="0"/>
    <x v="2"/>
    <x v="0"/>
    <x v="0"/>
    <x v="0"/>
    <x v="71"/>
    <x v="0"/>
    <x v="71"/>
    <x v="0"/>
  </r>
  <r>
    <x v="10"/>
    <x v="0"/>
    <x v="0"/>
    <x v="1"/>
    <x v="5"/>
    <x v="72"/>
    <x v="0"/>
    <x v="72"/>
    <x v="0"/>
  </r>
  <r>
    <x v="1"/>
    <x v="5"/>
    <x v="0"/>
    <x v="0"/>
    <x v="1"/>
    <x v="73"/>
    <x v="4"/>
    <x v="73"/>
    <x v="0"/>
  </r>
  <r>
    <x v="7"/>
    <x v="1"/>
    <x v="0"/>
    <x v="0"/>
    <x v="6"/>
    <x v="74"/>
    <x v="0"/>
    <x v="74"/>
    <x v="0"/>
  </r>
  <r>
    <x v="7"/>
    <x v="3"/>
    <x v="0"/>
    <x v="0"/>
    <x v="6"/>
    <x v="75"/>
    <x v="1"/>
    <x v="75"/>
    <x v="0"/>
  </r>
  <r>
    <x v="20"/>
    <x v="5"/>
    <x v="0"/>
    <x v="0"/>
    <x v="11"/>
    <x v="76"/>
    <x v="7"/>
    <x v="76"/>
    <x v="0"/>
  </r>
  <r>
    <x v="33"/>
    <x v="5"/>
    <x v="0"/>
    <x v="0"/>
    <x v="17"/>
    <x v="77"/>
    <x v="4"/>
    <x v="77"/>
    <x v="0"/>
  </r>
  <r>
    <x v="62"/>
    <x v="1"/>
    <x v="0"/>
    <x v="1"/>
    <x v="5"/>
    <x v="78"/>
    <x v="0"/>
    <x v="78"/>
    <x v="0"/>
  </r>
  <r>
    <x v="63"/>
    <x v="1"/>
    <x v="0"/>
    <x v="1"/>
    <x v="5"/>
    <x v="79"/>
    <x v="0"/>
    <x v="79"/>
    <x v="0"/>
  </r>
  <r>
    <x v="64"/>
    <x v="1"/>
    <x v="0"/>
    <x v="1"/>
    <x v="5"/>
    <x v="80"/>
    <x v="0"/>
    <x v="80"/>
    <x v="0"/>
  </r>
  <r>
    <x v="20"/>
    <x v="4"/>
    <x v="0"/>
    <x v="0"/>
    <x v="11"/>
    <x v="81"/>
    <x v="8"/>
    <x v="81"/>
    <x v="0"/>
  </r>
  <r>
    <x v="65"/>
    <x v="0"/>
    <x v="0"/>
    <x v="1"/>
    <x v="5"/>
    <x v="82"/>
    <x v="0"/>
    <x v="82"/>
    <x v="0"/>
  </r>
  <r>
    <x v="66"/>
    <x v="1"/>
    <x v="0"/>
    <x v="1"/>
    <x v="5"/>
    <x v="83"/>
    <x v="5"/>
    <x v="83"/>
    <x v="0"/>
  </r>
  <r>
    <x v="67"/>
    <x v="1"/>
    <x v="0"/>
    <x v="0"/>
    <x v="22"/>
    <x v="84"/>
    <x v="9"/>
    <x v="84"/>
    <x v="0"/>
  </r>
  <r>
    <x v="21"/>
    <x v="5"/>
    <x v="0"/>
    <x v="0"/>
    <x v="12"/>
    <x v="85"/>
    <x v="4"/>
    <x v="85"/>
    <x v="0"/>
  </r>
  <r>
    <x v="31"/>
    <x v="4"/>
    <x v="0"/>
    <x v="0"/>
    <x v="16"/>
    <x v="86"/>
    <x v="3"/>
    <x v="86"/>
    <x v="0"/>
  </r>
  <r>
    <x v="68"/>
    <x v="1"/>
    <x v="0"/>
    <x v="1"/>
    <x v="5"/>
    <x v="87"/>
    <x v="0"/>
    <x v="87"/>
    <x v="0"/>
  </r>
  <r>
    <x v="36"/>
    <x v="5"/>
    <x v="0"/>
    <x v="1"/>
    <x v="5"/>
    <x v="88"/>
    <x v="4"/>
    <x v="88"/>
    <x v="0"/>
  </r>
  <r>
    <x v="69"/>
    <x v="2"/>
    <x v="0"/>
    <x v="1"/>
    <x v="5"/>
    <x v="89"/>
    <x v="0"/>
    <x v="89"/>
    <x v="0"/>
  </r>
  <r>
    <x v="70"/>
    <x v="1"/>
    <x v="0"/>
    <x v="1"/>
    <x v="5"/>
    <x v="90"/>
    <x v="0"/>
    <x v="90"/>
    <x v="0"/>
  </r>
  <r>
    <x v="71"/>
    <x v="1"/>
    <x v="0"/>
    <x v="1"/>
    <x v="5"/>
    <x v="91"/>
    <x v="0"/>
    <x v="91"/>
    <x v="0"/>
  </r>
  <r>
    <x v="72"/>
    <x v="1"/>
    <x v="0"/>
    <x v="1"/>
    <x v="5"/>
    <x v="92"/>
    <x v="0"/>
    <x v="92"/>
    <x v="0"/>
  </r>
  <r>
    <x v="51"/>
    <x v="0"/>
    <x v="0"/>
    <x v="1"/>
    <x v="5"/>
    <x v="93"/>
    <x v="0"/>
    <x v="93"/>
    <x v="0"/>
  </r>
  <r>
    <x v="73"/>
    <x v="1"/>
    <x v="0"/>
    <x v="1"/>
    <x v="5"/>
    <x v="94"/>
    <x v="0"/>
    <x v="94"/>
    <x v="0"/>
  </r>
  <r>
    <x v="74"/>
    <x v="0"/>
    <x v="0"/>
    <x v="1"/>
    <x v="5"/>
    <x v="95"/>
    <x v="0"/>
    <x v="95"/>
    <x v="0"/>
  </r>
  <r>
    <x v="67"/>
    <x v="4"/>
    <x v="0"/>
    <x v="0"/>
    <x v="22"/>
    <x v="96"/>
    <x v="10"/>
    <x v="96"/>
    <x v="0"/>
  </r>
  <r>
    <x v="75"/>
    <x v="5"/>
    <x v="0"/>
    <x v="1"/>
    <x v="5"/>
    <x v="97"/>
    <x v="4"/>
    <x v="97"/>
    <x v="0"/>
  </r>
  <r>
    <x v="76"/>
    <x v="1"/>
    <x v="0"/>
    <x v="1"/>
    <x v="5"/>
    <x v="98"/>
    <x v="0"/>
    <x v="98"/>
    <x v="0"/>
  </r>
  <r>
    <x v="77"/>
    <x v="1"/>
    <x v="0"/>
    <x v="1"/>
    <x v="5"/>
    <x v="99"/>
    <x v="0"/>
    <x v="99"/>
    <x v="0"/>
  </r>
  <r>
    <x v="78"/>
    <x v="1"/>
    <x v="0"/>
    <x v="1"/>
    <x v="5"/>
    <x v="100"/>
    <x v="0"/>
    <x v="100"/>
    <x v="0"/>
  </r>
  <r>
    <x v="79"/>
    <x v="5"/>
    <x v="0"/>
    <x v="1"/>
    <x v="5"/>
    <x v="101"/>
    <x v="4"/>
    <x v="101"/>
    <x v="0"/>
  </r>
  <r>
    <x v="3"/>
    <x v="5"/>
    <x v="0"/>
    <x v="0"/>
    <x v="3"/>
    <x v="102"/>
    <x v="4"/>
    <x v="102"/>
    <x v="0"/>
  </r>
  <r>
    <x v="80"/>
    <x v="1"/>
    <x v="0"/>
    <x v="1"/>
    <x v="5"/>
    <x v="103"/>
    <x v="0"/>
    <x v="103"/>
    <x v="0"/>
  </r>
  <r>
    <x v="80"/>
    <x v="0"/>
    <x v="0"/>
    <x v="1"/>
    <x v="5"/>
    <x v="104"/>
    <x v="0"/>
    <x v="104"/>
    <x v="0"/>
  </r>
  <r>
    <x v="81"/>
    <x v="5"/>
    <x v="0"/>
    <x v="1"/>
    <x v="5"/>
    <x v="105"/>
    <x v="0"/>
    <x v="105"/>
    <x v="0"/>
  </r>
  <r>
    <x v="82"/>
    <x v="1"/>
    <x v="0"/>
    <x v="1"/>
    <x v="5"/>
    <x v="106"/>
    <x v="11"/>
    <x v="106"/>
    <x v="0"/>
  </r>
  <r>
    <x v="67"/>
    <x v="5"/>
    <x v="0"/>
    <x v="0"/>
    <x v="22"/>
    <x v="107"/>
    <x v="12"/>
    <x v="107"/>
    <x v="0"/>
  </r>
  <r>
    <x v="83"/>
    <x v="5"/>
    <x v="0"/>
    <x v="1"/>
    <x v="5"/>
    <x v="108"/>
    <x v="0"/>
    <x v="108"/>
    <x v="0"/>
  </r>
  <r>
    <x v="16"/>
    <x v="5"/>
    <x v="0"/>
    <x v="0"/>
    <x v="10"/>
    <x v="109"/>
    <x v="0"/>
    <x v="109"/>
    <x v="0"/>
  </r>
  <r>
    <x v="84"/>
    <x v="1"/>
    <x v="0"/>
    <x v="1"/>
    <x v="5"/>
    <x v="110"/>
    <x v="0"/>
    <x v="110"/>
    <x v="0"/>
  </r>
  <r>
    <x v="85"/>
    <x v="1"/>
    <x v="0"/>
    <x v="1"/>
    <x v="5"/>
    <x v="111"/>
    <x v="0"/>
    <x v="111"/>
    <x v="0"/>
  </r>
  <r>
    <x v="86"/>
    <x v="5"/>
    <x v="0"/>
    <x v="1"/>
    <x v="5"/>
    <x v="112"/>
    <x v="4"/>
    <x v="112"/>
    <x v="0"/>
  </r>
  <r>
    <x v="87"/>
    <x v="0"/>
    <x v="0"/>
    <x v="1"/>
    <x v="5"/>
    <x v="113"/>
    <x v="13"/>
    <x v="113"/>
    <x v="0"/>
  </r>
  <r>
    <x v="88"/>
    <x v="1"/>
    <x v="0"/>
    <x v="1"/>
    <x v="5"/>
    <x v="114"/>
    <x v="0"/>
    <x v="114"/>
    <x v="0"/>
  </r>
  <r>
    <x v="89"/>
    <x v="4"/>
    <x v="0"/>
    <x v="1"/>
    <x v="5"/>
    <x v="115"/>
    <x v="3"/>
    <x v="115"/>
    <x v="0"/>
  </r>
  <r>
    <x v="90"/>
    <x v="5"/>
    <x v="0"/>
    <x v="1"/>
    <x v="5"/>
    <x v="116"/>
    <x v="4"/>
    <x v="116"/>
    <x v="0"/>
  </r>
  <r>
    <x v="5"/>
    <x v="5"/>
    <x v="0"/>
    <x v="1"/>
    <x v="5"/>
    <x v="117"/>
    <x v="4"/>
    <x v="117"/>
    <x v="0"/>
  </r>
  <r>
    <x v="91"/>
    <x v="4"/>
    <x v="0"/>
    <x v="1"/>
    <x v="5"/>
    <x v="118"/>
    <x v="0"/>
    <x v="118"/>
    <x v="0"/>
  </r>
  <r>
    <x v="92"/>
    <x v="1"/>
    <x v="0"/>
    <x v="1"/>
    <x v="5"/>
    <x v="119"/>
    <x v="0"/>
    <x v="119"/>
    <x v="0"/>
  </r>
  <r>
    <x v="93"/>
    <x v="1"/>
    <x v="0"/>
    <x v="1"/>
    <x v="5"/>
    <x v="120"/>
    <x v="0"/>
    <x v="120"/>
    <x v="0"/>
  </r>
  <r>
    <x v="50"/>
    <x v="0"/>
    <x v="0"/>
    <x v="1"/>
    <x v="5"/>
    <x v="121"/>
    <x v="0"/>
    <x v="121"/>
    <x v="0"/>
  </r>
  <r>
    <x v="94"/>
    <x v="0"/>
    <x v="0"/>
    <x v="1"/>
    <x v="5"/>
    <x v="122"/>
    <x v="0"/>
    <x v="122"/>
    <x v="0"/>
  </r>
  <r>
    <x v="95"/>
    <x v="1"/>
    <x v="0"/>
    <x v="1"/>
    <x v="5"/>
    <x v="123"/>
    <x v="0"/>
    <x v="123"/>
    <x v="0"/>
  </r>
  <r>
    <x v="62"/>
    <x v="4"/>
    <x v="0"/>
    <x v="1"/>
    <x v="5"/>
    <x v="124"/>
    <x v="3"/>
    <x v="124"/>
    <x v="0"/>
  </r>
  <r>
    <x v="96"/>
    <x v="4"/>
    <x v="0"/>
    <x v="1"/>
    <x v="5"/>
    <x v="125"/>
    <x v="3"/>
    <x v="125"/>
    <x v="0"/>
  </r>
  <r>
    <x v="97"/>
    <x v="1"/>
    <x v="0"/>
    <x v="1"/>
    <x v="5"/>
    <x v="126"/>
    <x v="0"/>
    <x v="126"/>
    <x v="0"/>
  </r>
  <r>
    <x v="31"/>
    <x v="5"/>
    <x v="0"/>
    <x v="0"/>
    <x v="16"/>
    <x v="127"/>
    <x v="4"/>
    <x v="127"/>
    <x v="0"/>
  </r>
  <r>
    <x v="98"/>
    <x v="5"/>
    <x v="0"/>
    <x v="1"/>
    <x v="5"/>
    <x v="128"/>
    <x v="0"/>
    <x v="128"/>
    <x v="0"/>
  </r>
  <r>
    <x v="99"/>
    <x v="1"/>
    <x v="0"/>
    <x v="1"/>
    <x v="5"/>
    <x v="129"/>
    <x v="0"/>
    <x v="129"/>
    <x v="0"/>
  </r>
  <r>
    <x v="100"/>
    <x v="1"/>
    <x v="0"/>
    <x v="1"/>
    <x v="5"/>
    <x v="130"/>
    <x v="0"/>
    <x v="130"/>
    <x v="0"/>
  </r>
  <r>
    <x v="101"/>
    <x v="1"/>
    <x v="0"/>
    <x v="1"/>
    <x v="5"/>
    <x v="131"/>
    <x v="0"/>
    <x v="131"/>
    <x v="0"/>
  </r>
  <r>
    <x v="102"/>
    <x v="1"/>
    <x v="0"/>
    <x v="1"/>
    <x v="5"/>
    <x v="132"/>
    <x v="0"/>
    <x v="132"/>
    <x v="0"/>
  </r>
  <r>
    <x v="103"/>
    <x v="0"/>
    <x v="0"/>
    <x v="1"/>
    <x v="5"/>
    <x v="133"/>
    <x v="0"/>
    <x v="133"/>
    <x v="0"/>
  </r>
  <r>
    <x v="11"/>
    <x v="4"/>
    <x v="0"/>
    <x v="0"/>
    <x v="8"/>
    <x v="134"/>
    <x v="14"/>
    <x v="134"/>
    <x v="0"/>
  </r>
  <r>
    <x v="104"/>
    <x v="5"/>
    <x v="0"/>
    <x v="1"/>
    <x v="5"/>
    <x v="135"/>
    <x v="0"/>
    <x v="135"/>
    <x v="0"/>
  </r>
  <r>
    <x v="105"/>
    <x v="1"/>
    <x v="0"/>
    <x v="1"/>
    <x v="5"/>
    <x v="136"/>
    <x v="0"/>
    <x v="136"/>
    <x v="0"/>
  </r>
  <r>
    <x v="106"/>
    <x v="1"/>
    <x v="0"/>
    <x v="1"/>
    <x v="5"/>
    <x v="137"/>
    <x v="0"/>
    <x v="137"/>
    <x v="0"/>
  </r>
  <r>
    <x v="107"/>
    <x v="0"/>
    <x v="0"/>
    <x v="1"/>
    <x v="5"/>
    <x v="138"/>
    <x v="0"/>
    <x v="138"/>
    <x v="0"/>
  </r>
  <r>
    <x v="41"/>
    <x v="4"/>
    <x v="0"/>
    <x v="1"/>
    <x v="5"/>
    <x v="139"/>
    <x v="3"/>
    <x v="139"/>
    <x v="0"/>
  </r>
  <r>
    <x v="38"/>
    <x v="4"/>
    <x v="0"/>
    <x v="1"/>
    <x v="5"/>
    <x v="140"/>
    <x v="3"/>
    <x v="140"/>
    <x v="0"/>
  </r>
  <r>
    <x v="108"/>
    <x v="5"/>
    <x v="0"/>
    <x v="0"/>
    <x v="23"/>
    <x v="141"/>
    <x v="15"/>
    <x v="141"/>
    <x v="0"/>
  </r>
  <r>
    <x v="109"/>
    <x v="1"/>
    <x v="0"/>
    <x v="1"/>
    <x v="5"/>
    <x v="142"/>
    <x v="0"/>
    <x v="142"/>
    <x v="0"/>
  </r>
  <r>
    <x v="110"/>
    <x v="5"/>
    <x v="0"/>
    <x v="1"/>
    <x v="5"/>
    <x v="143"/>
    <x v="4"/>
    <x v="143"/>
    <x v="0"/>
  </r>
  <r>
    <x v="111"/>
    <x v="1"/>
    <x v="0"/>
    <x v="1"/>
    <x v="5"/>
    <x v="144"/>
    <x v="0"/>
    <x v="144"/>
    <x v="0"/>
  </r>
  <r>
    <x v="112"/>
    <x v="1"/>
    <x v="0"/>
    <x v="1"/>
    <x v="5"/>
    <x v="145"/>
    <x v="0"/>
    <x v="145"/>
    <x v="0"/>
  </r>
  <r>
    <x v="113"/>
    <x v="1"/>
    <x v="0"/>
    <x v="1"/>
    <x v="5"/>
    <x v="146"/>
    <x v="16"/>
    <x v="146"/>
    <x v="0"/>
  </r>
  <r>
    <x v="114"/>
    <x v="5"/>
    <x v="0"/>
    <x v="1"/>
    <x v="5"/>
    <x v="147"/>
    <x v="4"/>
    <x v="147"/>
    <x v="0"/>
  </r>
  <r>
    <x v="115"/>
    <x v="1"/>
    <x v="0"/>
    <x v="1"/>
    <x v="5"/>
    <x v="148"/>
    <x v="0"/>
    <x v="148"/>
    <x v="0"/>
  </r>
  <r>
    <x v="9"/>
    <x v="5"/>
    <x v="0"/>
    <x v="0"/>
    <x v="7"/>
    <x v="149"/>
    <x v="17"/>
    <x v="149"/>
    <x v="0"/>
  </r>
  <r>
    <x v="116"/>
    <x v="5"/>
    <x v="0"/>
    <x v="1"/>
    <x v="5"/>
    <x v="150"/>
    <x v="0"/>
    <x v="150"/>
    <x v="0"/>
  </r>
  <r>
    <x v="117"/>
    <x v="1"/>
    <x v="0"/>
    <x v="1"/>
    <x v="5"/>
    <x v="151"/>
    <x v="0"/>
    <x v="151"/>
    <x v="0"/>
  </r>
  <r>
    <x v="118"/>
    <x v="1"/>
    <x v="0"/>
    <x v="1"/>
    <x v="5"/>
    <x v="152"/>
    <x v="0"/>
    <x v="152"/>
    <x v="0"/>
  </r>
  <r>
    <x v="119"/>
    <x v="1"/>
    <x v="0"/>
    <x v="1"/>
    <x v="5"/>
    <x v="153"/>
    <x v="0"/>
    <x v="153"/>
    <x v="0"/>
  </r>
  <r>
    <x v="22"/>
    <x v="5"/>
    <x v="0"/>
    <x v="0"/>
    <x v="13"/>
    <x v="154"/>
    <x v="4"/>
    <x v="154"/>
    <x v="0"/>
  </r>
  <r>
    <x v="120"/>
    <x v="0"/>
    <x v="0"/>
    <x v="1"/>
    <x v="5"/>
    <x v="155"/>
    <x v="0"/>
    <x v="155"/>
    <x v="0"/>
  </r>
  <r>
    <x v="121"/>
    <x v="5"/>
    <x v="0"/>
    <x v="1"/>
    <x v="5"/>
    <x v="156"/>
    <x v="0"/>
    <x v="156"/>
    <x v="0"/>
  </r>
  <r>
    <x v="122"/>
    <x v="4"/>
    <x v="0"/>
    <x v="1"/>
    <x v="5"/>
    <x v="157"/>
    <x v="0"/>
    <x v="157"/>
    <x v="0"/>
  </r>
  <r>
    <x v="123"/>
    <x v="4"/>
    <x v="0"/>
    <x v="1"/>
    <x v="5"/>
    <x v="158"/>
    <x v="0"/>
    <x v="158"/>
    <x v="0"/>
  </r>
  <r>
    <x v="124"/>
    <x v="1"/>
    <x v="0"/>
    <x v="1"/>
    <x v="5"/>
    <x v="159"/>
    <x v="0"/>
    <x v="159"/>
    <x v="0"/>
  </r>
  <r>
    <x v="125"/>
    <x v="1"/>
    <x v="0"/>
    <x v="1"/>
    <x v="5"/>
    <x v="160"/>
    <x v="0"/>
    <x v="160"/>
    <x v="0"/>
  </r>
  <r>
    <x v="45"/>
    <x v="5"/>
    <x v="0"/>
    <x v="1"/>
    <x v="5"/>
    <x v="161"/>
    <x v="18"/>
    <x v="161"/>
    <x v="0"/>
  </r>
  <r>
    <x v="126"/>
    <x v="5"/>
    <x v="0"/>
    <x v="1"/>
    <x v="5"/>
    <x v="162"/>
    <x v="4"/>
    <x v="162"/>
    <x v="0"/>
  </r>
  <r>
    <x v="127"/>
    <x v="0"/>
    <x v="0"/>
    <x v="1"/>
    <x v="5"/>
    <x v="163"/>
    <x v="0"/>
    <x v="163"/>
    <x v="0"/>
  </r>
  <r>
    <x v="128"/>
    <x v="1"/>
    <x v="0"/>
    <x v="1"/>
    <x v="5"/>
    <x v="164"/>
    <x v="0"/>
    <x v="164"/>
    <x v="0"/>
  </r>
  <r>
    <x v="72"/>
    <x v="4"/>
    <x v="0"/>
    <x v="1"/>
    <x v="5"/>
    <x v="165"/>
    <x v="19"/>
    <x v="165"/>
    <x v="0"/>
  </r>
  <r>
    <x v="129"/>
    <x v="1"/>
    <x v="0"/>
    <x v="1"/>
    <x v="5"/>
    <x v="166"/>
    <x v="0"/>
    <x v="166"/>
    <x v="0"/>
  </r>
  <r>
    <x v="130"/>
    <x v="1"/>
    <x v="0"/>
    <x v="1"/>
    <x v="5"/>
    <x v="167"/>
    <x v="0"/>
    <x v="167"/>
    <x v="0"/>
  </r>
  <r>
    <x v="131"/>
    <x v="5"/>
    <x v="0"/>
    <x v="1"/>
    <x v="5"/>
    <x v="168"/>
    <x v="4"/>
    <x v="168"/>
    <x v="0"/>
  </r>
  <r>
    <x v="132"/>
    <x v="1"/>
    <x v="0"/>
    <x v="1"/>
    <x v="5"/>
    <x v="169"/>
    <x v="5"/>
    <x v="169"/>
    <x v="0"/>
  </r>
  <r>
    <x v="98"/>
    <x v="4"/>
    <x v="0"/>
    <x v="1"/>
    <x v="5"/>
    <x v="170"/>
    <x v="0"/>
    <x v="170"/>
    <x v="0"/>
  </r>
  <r>
    <x v="133"/>
    <x v="5"/>
    <x v="0"/>
    <x v="1"/>
    <x v="5"/>
    <x v="171"/>
    <x v="0"/>
    <x v="171"/>
    <x v="0"/>
  </r>
  <r>
    <x v="134"/>
    <x v="1"/>
    <x v="0"/>
    <x v="1"/>
    <x v="5"/>
    <x v="172"/>
    <x v="0"/>
    <x v="172"/>
    <x v="0"/>
  </r>
  <r>
    <x v="135"/>
    <x v="1"/>
    <x v="0"/>
    <x v="1"/>
    <x v="5"/>
    <x v="173"/>
    <x v="0"/>
    <x v="173"/>
    <x v="0"/>
  </r>
  <r>
    <x v="67"/>
    <x v="0"/>
    <x v="0"/>
    <x v="0"/>
    <x v="22"/>
    <x v="174"/>
    <x v="20"/>
    <x v="174"/>
    <x v="0"/>
  </r>
  <r>
    <x v="54"/>
    <x v="5"/>
    <x v="0"/>
    <x v="1"/>
    <x v="5"/>
    <x v="175"/>
    <x v="4"/>
    <x v="175"/>
    <x v="0"/>
  </r>
  <r>
    <x v="136"/>
    <x v="5"/>
    <x v="0"/>
    <x v="1"/>
    <x v="5"/>
    <x v="176"/>
    <x v="4"/>
    <x v="176"/>
    <x v="0"/>
  </r>
  <r>
    <x v="124"/>
    <x v="5"/>
    <x v="0"/>
    <x v="1"/>
    <x v="5"/>
    <x v="177"/>
    <x v="4"/>
    <x v="177"/>
    <x v="0"/>
  </r>
  <r>
    <x v="137"/>
    <x v="1"/>
    <x v="0"/>
    <x v="1"/>
    <x v="5"/>
    <x v="178"/>
    <x v="0"/>
    <x v="178"/>
    <x v="0"/>
  </r>
  <r>
    <x v="138"/>
    <x v="1"/>
    <x v="0"/>
    <x v="1"/>
    <x v="5"/>
    <x v="179"/>
    <x v="0"/>
    <x v="179"/>
    <x v="0"/>
  </r>
  <r>
    <x v="139"/>
    <x v="0"/>
    <x v="0"/>
    <x v="1"/>
    <x v="5"/>
    <x v="180"/>
    <x v="0"/>
    <x v="180"/>
    <x v="0"/>
  </r>
  <r>
    <x v="140"/>
    <x v="4"/>
    <x v="0"/>
    <x v="1"/>
    <x v="5"/>
    <x v="181"/>
    <x v="21"/>
    <x v="181"/>
    <x v="0"/>
  </r>
  <r>
    <x v="136"/>
    <x v="4"/>
    <x v="0"/>
    <x v="1"/>
    <x v="5"/>
    <x v="182"/>
    <x v="3"/>
    <x v="182"/>
    <x v="0"/>
  </r>
  <r>
    <x v="141"/>
    <x v="5"/>
    <x v="0"/>
    <x v="1"/>
    <x v="5"/>
    <x v="183"/>
    <x v="4"/>
    <x v="183"/>
    <x v="0"/>
  </r>
  <r>
    <x v="142"/>
    <x v="5"/>
    <x v="0"/>
    <x v="0"/>
    <x v="24"/>
    <x v="184"/>
    <x v="0"/>
    <x v="184"/>
    <x v="0"/>
  </r>
  <r>
    <x v="143"/>
    <x v="1"/>
    <x v="0"/>
    <x v="1"/>
    <x v="5"/>
    <x v="185"/>
    <x v="0"/>
    <x v="185"/>
    <x v="0"/>
  </r>
  <r>
    <x v="144"/>
    <x v="0"/>
    <x v="0"/>
    <x v="1"/>
    <x v="5"/>
    <x v="186"/>
    <x v="0"/>
    <x v="186"/>
    <x v="0"/>
  </r>
  <r>
    <x v="145"/>
    <x v="5"/>
    <x v="0"/>
    <x v="1"/>
    <x v="5"/>
    <x v="187"/>
    <x v="22"/>
    <x v="187"/>
    <x v="0"/>
  </r>
  <r>
    <x v="11"/>
    <x v="5"/>
    <x v="0"/>
    <x v="0"/>
    <x v="8"/>
    <x v="188"/>
    <x v="23"/>
    <x v="188"/>
    <x v="0"/>
  </r>
  <r>
    <x v="146"/>
    <x v="0"/>
    <x v="0"/>
    <x v="1"/>
    <x v="5"/>
    <x v="189"/>
    <x v="24"/>
    <x v="189"/>
    <x v="0"/>
  </r>
  <r>
    <x v="147"/>
    <x v="5"/>
    <x v="0"/>
    <x v="1"/>
    <x v="5"/>
    <x v="190"/>
    <x v="0"/>
    <x v="190"/>
    <x v="0"/>
  </r>
  <r>
    <x v="148"/>
    <x v="5"/>
    <x v="0"/>
    <x v="1"/>
    <x v="5"/>
    <x v="191"/>
    <x v="0"/>
    <x v="191"/>
    <x v="0"/>
  </r>
  <r>
    <x v="93"/>
    <x v="5"/>
    <x v="0"/>
    <x v="1"/>
    <x v="5"/>
    <x v="192"/>
    <x v="25"/>
    <x v="192"/>
    <x v="0"/>
  </r>
  <r>
    <x v="7"/>
    <x v="5"/>
    <x v="0"/>
    <x v="0"/>
    <x v="6"/>
    <x v="193"/>
    <x v="26"/>
    <x v="193"/>
    <x v="0"/>
  </r>
  <r>
    <x v="149"/>
    <x v="1"/>
    <x v="0"/>
    <x v="1"/>
    <x v="5"/>
    <x v="194"/>
    <x v="0"/>
    <x v="194"/>
    <x v="0"/>
  </r>
  <r>
    <x v="150"/>
    <x v="5"/>
    <x v="0"/>
    <x v="1"/>
    <x v="5"/>
    <x v="195"/>
    <x v="0"/>
    <x v="195"/>
    <x v="0"/>
  </r>
  <r>
    <x v="151"/>
    <x v="1"/>
    <x v="0"/>
    <x v="1"/>
    <x v="5"/>
    <x v="196"/>
    <x v="0"/>
    <x v="196"/>
    <x v="0"/>
  </r>
  <r>
    <x v="152"/>
    <x v="5"/>
    <x v="0"/>
    <x v="0"/>
    <x v="25"/>
    <x v="197"/>
    <x v="0"/>
    <x v="197"/>
    <x v="0"/>
  </r>
  <r>
    <x v="83"/>
    <x v="4"/>
    <x v="0"/>
    <x v="1"/>
    <x v="5"/>
    <x v="198"/>
    <x v="0"/>
    <x v="198"/>
    <x v="0"/>
  </r>
  <r>
    <x v="55"/>
    <x v="0"/>
    <x v="0"/>
    <x v="1"/>
    <x v="5"/>
    <x v="199"/>
    <x v="0"/>
    <x v="199"/>
    <x v="0"/>
  </r>
  <r>
    <x v="153"/>
    <x v="5"/>
    <x v="0"/>
    <x v="1"/>
    <x v="5"/>
    <x v="200"/>
    <x v="0"/>
    <x v="200"/>
    <x v="0"/>
  </r>
  <r>
    <x v="154"/>
    <x v="1"/>
    <x v="0"/>
    <x v="1"/>
    <x v="5"/>
    <x v="201"/>
    <x v="0"/>
    <x v="201"/>
    <x v="0"/>
  </r>
  <r>
    <x v="155"/>
    <x v="5"/>
    <x v="0"/>
    <x v="1"/>
    <x v="5"/>
    <x v="202"/>
    <x v="4"/>
    <x v="202"/>
    <x v="0"/>
  </r>
  <r>
    <x v="109"/>
    <x v="5"/>
    <x v="0"/>
    <x v="1"/>
    <x v="5"/>
    <x v="203"/>
    <x v="4"/>
    <x v="203"/>
    <x v="0"/>
  </r>
  <r>
    <x v="89"/>
    <x v="1"/>
    <x v="0"/>
    <x v="1"/>
    <x v="5"/>
    <x v="204"/>
    <x v="0"/>
    <x v="204"/>
    <x v="0"/>
  </r>
  <r>
    <x v="156"/>
    <x v="5"/>
    <x v="0"/>
    <x v="1"/>
    <x v="5"/>
    <x v="205"/>
    <x v="0"/>
    <x v="205"/>
    <x v="0"/>
  </r>
  <r>
    <x v="79"/>
    <x v="1"/>
    <x v="0"/>
    <x v="1"/>
    <x v="5"/>
    <x v="206"/>
    <x v="0"/>
    <x v="206"/>
    <x v="0"/>
  </r>
  <r>
    <x v="157"/>
    <x v="0"/>
    <x v="0"/>
    <x v="1"/>
    <x v="5"/>
    <x v="207"/>
    <x v="0"/>
    <x v="207"/>
    <x v="0"/>
  </r>
  <r>
    <x v="158"/>
    <x v="1"/>
    <x v="0"/>
    <x v="1"/>
    <x v="5"/>
    <x v="208"/>
    <x v="0"/>
    <x v="208"/>
    <x v="0"/>
  </r>
  <r>
    <x v="90"/>
    <x v="3"/>
    <x v="0"/>
    <x v="1"/>
    <x v="5"/>
    <x v="209"/>
    <x v="1"/>
    <x v="209"/>
    <x v="0"/>
  </r>
  <r>
    <x v="159"/>
    <x v="4"/>
    <x v="0"/>
    <x v="0"/>
    <x v="26"/>
    <x v="210"/>
    <x v="27"/>
    <x v="210"/>
    <x v="0"/>
  </r>
  <r>
    <x v="160"/>
    <x v="1"/>
    <x v="0"/>
    <x v="1"/>
    <x v="5"/>
    <x v="211"/>
    <x v="0"/>
    <x v="211"/>
    <x v="0"/>
  </r>
  <r>
    <x v="161"/>
    <x v="4"/>
    <x v="0"/>
    <x v="1"/>
    <x v="5"/>
    <x v="212"/>
    <x v="0"/>
    <x v="212"/>
    <x v="0"/>
  </r>
  <r>
    <x v="162"/>
    <x v="5"/>
    <x v="0"/>
    <x v="1"/>
    <x v="5"/>
    <x v="213"/>
    <x v="0"/>
    <x v="213"/>
    <x v="0"/>
  </r>
  <r>
    <x v="163"/>
    <x v="1"/>
    <x v="0"/>
    <x v="0"/>
    <x v="27"/>
    <x v="214"/>
    <x v="0"/>
    <x v="214"/>
    <x v="0"/>
  </r>
  <r>
    <x v="164"/>
    <x v="5"/>
    <x v="0"/>
    <x v="0"/>
    <x v="28"/>
    <x v="215"/>
    <x v="28"/>
    <x v="215"/>
    <x v="0"/>
  </r>
  <r>
    <x v="165"/>
    <x v="5"/>
    <x v="0"/>
    <x v="1"/>
    <x v="5"/>
    <x v="216"/>
    <x v="0"/>
    <x v="216"/>
    <x v="0"/>
  </r>
  <r>
    <x v="166"/>
    <x v="1"/>
    <x v="0"/>
    <x v="1"/>
    <x v="5"/>
    <x v="217"/>
    <x v="0"/>
    <x v="217"/>
    <x v="0"/>
  </r>
  <r>
    <x v="167"/>
    <x v="1"/>
    <x v="0"/>
    <x v="1"/>
    <x v="5"/>
    <x v="218"/>
    <x v="0"/>
    <x v="218"/>
    <x v="0"/>
  </r>
  <r>
    <x v="168"/>
    <x v="5"/>
    <x v="0"/>
    <x v="1"/>
    <x v="5"/>
    <x v="219"/>
    <x v="0"/>
    <x v="219"/>
    <x v="0"/>
  </r>
  <r>
    <x v="169"/>
    <x v="0"/>
    <x v="0"/>
    <x v="1"/>
    <x v="5"/>
    <x v="220"/>
    <x v="0"/>
    <x v="220"/>
    <x v="0"/>
  </r>
  <r>
    <x v="170"/>
    <x v="1"/>
    <x v="0"/>
    <x v="1"/>
    <x v="5"/>
    <x v="221"/>
    <x v="0"/>
    <x v="221"/>
    <x v="0"/>
  </r>
  <r>
    <x v="171"/>
    <x v="1"/>
    <x v="0"/>
    <x v="1"/>
    <x v="5"/>
    <x v="222"/>
    <x v="0"/>
    <x v="222"/>
    <x v="0"/>
  </r>
  <r>
    <x v="172"/>
    <x v="1"/>
    <x v="0"/>
    <x v="1"/>
    <x v="5"/>
    <x v="223"/>
    <x v="29"/>
    <x v="223"/>
    <x v="0"/>
  </r>
  <r>
    <x v="173"/>
    <x v="4"/>
    <x v="0"/>
    <x v="1"/>
    <x v="5"/>
    <x v="224"/>
    <x v="30"/>
    <x v="224"/>
    <x v="0"/>
  </r>
  <r>
    <x v="25"/>
    <x v="1"/>
    <x v="0"/>
    <x v="1"/>
    <x v="5"/>
    <x v="225"/>
    <x v="0"/>
    <x v="225"/>
    <x v="0"/>
  </r>
  <r>
    <x v="174"/>
    <x v="0"/>
    <x v="0"/>
    <x v="1"/>
    <x v="5"/>
    <x v="226"/>
    <x v="0"/>
    <x v="226"/>
    <x v="0"/>
  </r>
  <r>
    <x v="175"/>
    <x v="5"/>
    <x v="0"/>
    <x v="1"/>
    <x v="5"/>
    <x v="227"/>
    <x v="26"/>
    <x v="227"/>
    <x v="0"/>
  </r>
  <r>
    <x v="176"/>
    <x v="1"/>
    <x v="0"/>
    <x v="1"/>
    <x v="5"/>
    <x v="228"/>
    <x v="0"/>
    <x v="228"/>
    <x v="0"/>
  </r>
  <r>
    <x v="177"/>
    <x v="5"/>
    <x v="0"/>
    <x v="1"/>
    <x v="5"/>
    <x v="229"/>
    <x v="0"/>
    <x v="229"/>
    <x v="0"/>
  </r>
  <r>
    <x v="178"/>
    <x v="5"/>
    <x v="0"/>
    <x v="1"/>
    <x v="5"/>
    <x v="230"/>
    <x v="0"/>
    <x v="230"/>
    <x v="0"/>
  </r>
  <r>
    <x v="41"/>
    <x v="0"/>
    <x v="0"/>
    <x v="1"/>
    <x v="5"/>
    <x v="231"/>
    <x v="0"/>
    <x v="231"/>
    <x v="0"/>
  </r>
  <r>
    <x v="130"/>
    <x v="0"/>
    <x v="0"/>
    <x v="1"/>
    <x v="5"/>
    <x v="232"/>
    <x v="0"/>
    <x v="232"/>
    <x v="0"/>
  </r>
  <r>
    <x v="176"/>
    <x v="5"/>
    <x v="0"/>
    <x v="1"/>
    <x v="5"/>
    <x v="233"/>
    <x v="4"/>
    <x v="233"/>
    <x v="0"/>
  </r>
  <r>
    <x v="179"/>
    <x v="0"/>
    <x v="0"/>
    <x v="1"/>
    <x v="5"/>
    <x v="234"/>
    <x v="0"/>
    <x v="234"/>
    <x v="0"/>
  </r>
  <r>
    <x v="180"/>
    <x v="5"/>
    <x v="0"/>
    <x v="1"/>
    <x v="5"/>
    <x v="235"/>
    <x v="0"/>
    <x v="235"/>
    <x v="0"/>
  </r>
  <r>
    <x v="117"/>
    <x v="5"/>
    <x v="0"/>
    <x v="1"/>
    <x v="5"/>
    <x v="236"/>
    <x v="31"/>
    <x v="236"/>
    <x v="0"/>
  </r>
  <r>
    <x v="181"/>
    <x v="1"/>
    <x v="0"/>
    <x v="1"/>
    <x v="5"/>
    <x v="237"/>
    <x v="0"/>
    <x v="237"/>
    <x v="0"/>
  </r>
  <r>
    <x v="62"/>
    <x v="5"/>
    <x v="0"/>
    <x v="1"/>
    <x v="5"/>
    <x v="238"/>
    <x v="4"/>
    <x v="238"/>
    <x v="0"/>
  </r>
  <r>
    <x v="182"/>
    <x v="0"/>
    <x v="0"/>
    <x v="1"/>
    <x v="5"/>
    <x v="239"/>
    <x v="0"/>
    <x v="239"/>
    <x v="0"/>
  </r>
  <r>
    <x v="159"/>
    <x v="5"/>
    <x v="0"/>
    <x v="0"/>
    <x v="26"/>
    <x v="240"/>
    <x v="32"/>
    <x v="240"/>
    <x v="0"/>
  </r>
  <r>
    <x v="183"/>
    <x v="0"/>
    <x v="0"/>
    <x v="1"/>
    <x v="5"/>
    <x v="241"/>
    <x v="0"/>
    <x v="241"/>
    <x v="0"/>
  </r>
  <r>
    <x v="128"/>
    <x v="5"/>
    <x v="0"/>
    <x v="1"/>
    <x v="5"/>
    <x v="242"/>
    <x v="4"/>
    <x v="242"/>
    <x v="0"/>
  </r>
  <r>
    <x v="184"/>
    <x v="5"/>
    <x v="0"/>
    <x v="1"/>
    <x v="5"/>
    <x v="243"/>
    <x v="4"/>
    <x v="243"/>
    <x v="0"/>
  </r>
  <r>
    <x v="185"/>
    <x v="1"/>
    <x v="0"/>
    <x v="0"/>
    <x v="29"/>
    <x v="244"/>
    <x v="0"/>
    <x v="244"/>
    <x v="0"/>
  </r>
  <r>
    <x v="118"/>
    <x v="5"/>
    <x v="0"/>
    <x v="1"/>
    <x v="5"/>
    <x v="245"/>
    <x v="4"/>
    <x v="245"/>
    <x v="0"/>
  </r>
  <r>
    <x v="186"/>
    <x v="5"/>
    <x v="0"/>
    <x v="1"/>
    <x v="5"/>
    <x v="246"/>
    <x v="33"/>
    <x v="246"/>
    <x v="0"/>
  </r>
  <r>
    <x v="98"/>
    <x v="1"/>
    <x v="0"/>
    <x v="1"/>
    <x v="5"/>
    <x v="247"/>
    <x v="0"/>
    <x v="247"/>
    <x v="0"/>
  </r>
  <r>
    <x v="187"/>
    <x v="5"/>
    <x v="0"/>
    <x v="1"/>
    <x v="5"/>
    <x v="248"/>
    <x v="34"/>
    <x v="248"/>
    <x v="0"/>
  </r>
  <r>
    <x v="188"/>
    <x v="4"/>
    <x v="0"/>
    <x v="0"/>
    <x v="30"/>
    <x v="249"/>
    <x v="0"/>
    <x v="249"/>
    <x v="0"/>
  </r>
  <r>
    <x v="189"/>
    <x v="5"/>
    <x v="0"/>
    <x v="1"/>
    <x v="5"/>
    <x v="250"/>
    <x v="35"/>
    <x v="250"/>
    <x v="0"/>
  </r>
  <r>
    <x v="190"/>
    <x v="1"/>
    <x v="0"/>
    <x v="1"/>
    <x v="5"/>
    <x v="251"/>
    <x v="0"/>
    <x v="251"/>
    <x v="0"/>
  </r>
  <r>
    <x v="191"/>
    <x v="1"/>
    <x v="0"/>
    <x v="1"/>
    <x v="5"/>
    <x v="252"/>
    <x v="0"/>
    <x v="252"/>
    <x v="0"/>
  </r>
  <r>
    <x v="192"/>
    <x v="1"/>
    <x v="0"/>
    <x v="1"/>
    <x v="5"/>
    <x v="253"/>
    <x v="0"/>
    <x v="253"/>
    <x v="0"/>
  </r>
  <r>
    <x v="193"/>
    <x v="1"/>
    <x v="0"/>
    <x v="1"/>
    <x v="5"/>
    <x v="254"/>
    <x v="5"/>
    <x v="254"/>
    <x v="0"/>
  </r>
  <r>
    <x v="194"/>
    <x v="5"/>
    <x v="0"/>
    <x v="1"/>
    <x v="5"/>
    <x v="255"/>
    <x v="0"/>
    <x v="255"/>
    <x v="0"/>
  </r>
  <r>
    <x v="195"/>
    <x v="0"/>
    <x v="0"/>
    <x v="1"/>
    <x v="5"/>
    <x v="256"/>
    <x v="0"/>
    <x v="256"/>
    <x v="0"/>
  </r>
  <r>
    <x v="196"/>
    <x v="0"/>
    <x v="0"/>
    <x v="1"/>
    <x v="5"/>
    <x v="257"/>
    <x v="0"/>
    <x v="257"/>
    <x v="0"/>
  </r>
  <r>
    <x v="197"/>
    <x v="0"/>
    <x v="0"/>
    <x v="1"/>
    <x v="5"/>
    <x v="258"/>
    <x v="0"/>
    <x v="258"/>
    <x v="0"/>
  </r>
  <r>
    <x v="198"/>
    <x v="1"/>
    <x v="0"/>
    <x v="1"/>
    <x v="5"/>
    <x v="259"/>
    <x v="0"/>
    <x v="259"/>
    <x v="0"/>
  </r>
  <r>
    <x v="199"/>
    <x v="0"/>
    <x v="0"/>
    <x v="1"/>
    <x v="5"/>
    <x v="260"/>
    <x v="0"/>
    <x v="260"/>
    <x v="0"/>
  </r>
  <r>
    <x v="200"/>
    <x v="1"/>
    <x v="0"/>
    <x v="1"/>
    <x v="5"/>
    <x v="261"/>
    <x v="0"/>
    <x v="261"/>
    <x v="0"/>
  </r>
  <r>
    <x v="201"/>
    <x v="0"/>
    <x v="0"/>
    <x v="1"/>
    <x v="5"/>
    <x v="262"/>
    <x v="0"/>
    <x v="262"/>
    <x v="0"/>
  </r>
  <r>
    <x v="50"/>
    <x v="4"/>
    <x v="0"/>
    <x v="1"/>
    <x v="5"/>
    <x v="263"/>
    <x v="3"/>
    <x v="263"/>
    <x v="0"/>
  </r>
  <r>
    <x v="202"/>
    <x v="5"/>
    <x v="0"/>
    <x v="1"/>
    <x v="5"/>
    <x v="264"/>
    <x v="4"/>
    <x v="264"/>
    <x v="0"/>
  </r>
  <r>
    <x v="203"/>
    <x v="1"/>
    <x v="0"/>
    <x v="1"/>
    <x v="5"/>
    <x v="265"/>
    <x v="0"/>
    <x v="265"/>
    <x v="0"/>
  </r>
  <r>
    <x v="204"/>
    <x v="1"/>
    <x v="0"/>
    <x v="1"/>
    <x v="5"/>
    <x v="266"/>
    <x v="0"/>
    <x v="266"/>
    <x v="0"/>
  </r>
  <r>
    <x v="205"/>
    <x v="5"/>
    <x v="0"/>
    <x v="1"/>
    <x v="5"/>
    <x v="267"/>
    <x v="0"/>
    <x v="267"/>
    <x v="0"/>
  </r>
  <r>
    <x v="206"/>
    <x v="5"/>
    <x v="0"/>
    <x v="1"/>
    <x v="5"/>
    <x v="268"/>
    <x v="0"/>
    <x v="268"/>
    <x v="0"/>
  </r>
  <r>
    <x v="207"/>
    <x v="4"/>
    <x v="0"/>
    <x v="1"/>
    <x v="5"/>
    <x v="269"/>
    <x v="3"/>
    <x v="269"/>
    <x v="0"/>
  </r>
  <r>
    <x v="171"/>
    <x v="5"/>
    <x v="0"/>
    <x v="1"/>
    <x v="5"/>
    <x v="270"/>
    <x v="4"/>
    <x v="270"/>
    <x v="0"/>
  </r>
  <r>
    <x v="208"/>
    <x v="1"/>
    <x v="0"/>
    <x v="1"/>
    <x v="5"/>
    <x v="271"/>
    <x v="0"/>
    <x v="271"/>
    <x v="0"/>
  </r>
  <r>
    <x v="209"/>
    <x v="0"/>
    <x v="0"/>
    <x v="1"/>
    <x v="5"/>
    <x v="272"/>
    <x v="0"/>
    <x v="272"/>
    <x v="0"/>
  </r>
  <r>
    <x v="78"/>
    <x v="5"/>
    <x v="0"/>
    <x v="1"/>
    <x v="5"/>
    <x v="273"/>
    <x v="4"/>
    <x v="273"/>
    <x v="0"/>
  </r>
  <r>
    <x v="57"/>
    <x v="5"/>
    <x v="0"/>
    <x v="1"/>
    <x v="5"/>
    <x v="274"/>
    <x v="4"/>
    <x v="274"/>
    <x v="0"/>
  </r>
  <r>
    <x v="210"/>
    <x v="1"/>
    <x v="0"/>
    <x v="1"/>
    <x v="5"/>
    <x v="275"/>
    <x v="0"/>
    <x v="275"/>
    <x v="0"/>
  </r>
  <r>
    <x v="211"/>
    <x v="5"/>
    <x v="0"/>
    <x v="1"/>
    <x v="5"/>
    <x v="276"/>
    <x v="36"/>
    <x v="276"/>
    <x v="0"/>
  </r>
  <r>
    <x v="132"/>
    <x v="5"/>
    <x v="0"/>
    <x v="1"/>
    <x v="5"/>
    <x v="277"/>
    <x v="4"/>
    <x v="277"/>
    <x v="0"/>
  </r>
  <r>
    <x v="56"/>
    <x v="1"/>
    <x v="0"/>
    <x v="0"/>
    <x v="21"/>
    <x v="278"/>
    <x v="0"/>
    <x v="278"/>
    <x v="0"/>
  </r>
  <r>
    <x v="138"/>
    <x v="0"/>
    <x v="0"/>
    <x v="1"/>
    <x v="5"/>
    <x v="279"/>
    <x v="0"/>
    <x v="279"/>
    <x v="0"/>
  </r>
  <r>
    <x v="210"/>
    <x v="4"/>
    <x v="0"/>
    <x v="1"/>
    <x v="5"/>
    <x v="280"/>
    <x v="3"/>
    <x v="280"/>
    <x v="0"/>
  </r>
  <r>
    <x v="212"/>
    <x v="1"/>
    <x v="0"/>
    <x v="1"/>
    <x v="5"/>
    <x v="281"/>
    <x v="0"/>
    <x v="281"/>
    <x v="0"/>
  </r>
  <r>
    <x v="213"/>
    <x v="0"/>
    <x v="0"/>
    <x v="1"/>
    <x v="5"/>
    <x v="282"/>
    <x v="0"/>
    <x v="282"/>
    <x v="0"/>
  </r>
  <r>
    <x v="214"/>
    <x v="0"/>
    <x v="0"/>
    <x v="1"/>
    <x v="5"/>
    <x v="283"/>
    <x v="0"/>
    <x v="283"/>
    <x v="0"/>
  </r>
  <r>
    <x v="147"/>
    <x v="4"/>
    <x v="0"/>
    <x v="1"/>
    <x v="5"/>
    <x v="284"/>
    <x v="0"/>
    <x v="284"/>
    <x v="0"/>
  </r>
  <r>
    <x v="215"/>
    <x v="4"/>
    <x v="0"/>
    <x v="1"/>
    <x v="5"/>
    <x v="285"/>
    <x v="0"/>
    <x v="285"/>
    <x v="0"/>
  </r>
  <r>
    <x v="216"/>
    <x v="5"/>
    <x v="0"/>
    <x v="1"/>
    <x v="5"/>
    <x v="286"/>
    <x v="37"/>
    <x v="286"/>
    <x v="0"/>
  </r>
  <r>
    <x v="66"/>
    <x v="5"/>
    <x v="0"/>
    <x v="1"/>
    <x v="5"/>
    <x v="287"/>
    <x v="4"/>
    <x v="287"/>
    <x v="0"/>
  </r>
  <r>
    <x v="217"/>
    <x v="0"/>
    <x v="0"/>
    <x v="1"/>
    <x v="5"/>
    <x v="288"/>
    <x v="0"/>
    <x v="288"/>
    <x v="0"/>
  </r>
  <r>
    <x v="218"/>
    <x v="1"/>
    <x v="0"/>
    <x v="1"/>
    <x v="5"/>
    <x v="289"/>
    <x v="0"/>
    <x v="289"/>
    <x v="0"/>
  </r>
  <r>
    <x v="219"/>
    <x v="5"/>
    <x v="0"/>
    <x v="1"/>
    <x v="5"/>
    <x v="290"/>
    <x v="0"/>
    <x v="290"/>
    <x v="0"/>
  </r>
  <r>
    <x v="89"/>
    <x v="5"/>
    <x v="0"/>
    <x v="1"/>
    <x v="5"/>
    <x v="291"/>
    <x v="4"/>
    <x v="291"/>
    <x v="0"/>
  </r>
  <r>
    <x v="220"/>
    <x v="1"/>
    <x v="0"/>
    <x v="1"/>
    <x v="5"/>
    <x v="292"/>
    <x v="0"/>
    <x v="292"/>
    <x v="0"/>
  </r>
  <r>
    <x v="221"/>
    <x v="1"/>
    <x v="0"/>
    <x v="1"/>
    <x v="5"/>
    <x v="293"/>
    <x v="0"/>
    <x v="293"/>
    <x v="0"/>
  </r>
  <r>
    <x v="222"/>
    <x v="0"/>
    <x v="0"/>
    <x v="1"/>
    <x v="5"/>
    <x v="294"/>
    <x v="0"/>
    <x v="294"/>
    <x v="0"/>
  </r>
  <r>
    <x v="223"/>
    <x v="5"/>
    <x v="0"/>
    <x v="1"/>
    <x v="5"/>
    <x v="295"/>
    <x v="0"/>
    <x v="295"/>
    <x v="0"/>
  </r>
  <r>
    <x v="224"/>
    <x v="5"/>
    <x v="0"/>
    <x v="1"/>
    <x v="5"/>
    <x v="296"/>
    <x v="4"/>
    <x v="296"/>
    <x v="0"/>
  </r>
  <r>
    <x v="225"/>
    <x v="5"/>
    <x v="0"/>
    <x v="1"/>
    <x v="5"/>
    <x v="297"/>
    <x v="0"/>
    <x v="297"/>
    <x v="0"/>
  </r>
  <r>
    <x v="226"/>
    <x v="2"/>
    <x v="0"/>
    <x v="1"/>
    <x v="5"/>
    <x v="298"/>
    <x v="0"/>
    <x v="298"/>
    <x v="0"/>
  </r>
  <r>
    <x v="108"/>
    <x v="3"/>
    <x v="0"/>
    <x v="0"/>
    <x v="23"/>
    <x v="299"/>
    <x v="38"/>
    <x v="299"/>
    <x v="0"/>
  </r>
  <r>
    <x v="30"/>
    <x v="5"/>
    <x v="0"/>
    <x v="0"/>
    <x v="15"/>
    <x v="300"/>
    <x v="39"/>
    <x v="300"/>
    <x v="0"/>
  </r>
  <r>
    <x v="140"/>
    <x v="5"/>
    <x v="0"/>
    <x v="1"/>
    <x v="5"/>
    <x v="301"/>
    <x v="40"/>
    <x v="301"/>
    <x v="0"/>
  </r>
  <r>
    <x v="151"/>
    <x v="4"/>
    <x v="0"/>
    <x v="1"/>
    <x v="5"/>
    <x v="302"/>
    <x v="3"/>
    <x v="302"/>
    <x v="0"/>
  </r>
  <r>
    <x v="227"/>
    <x v="0"/>
    <x v="0"/>
    <x v="1"/>
    <x v="5"/>
    <x v="303"/>
    <x v="0"/>
    <x v="303"/>
    <x v="0"/>
  </r>
  <r>
    <x v="228"/>
    <x v="5"/>
    <x v="0"/>
    <x v="1"/>
    <x v="5"/>
    <x v="304"/>
    <x v="41"/>
    <x v="304"/>
    <x v="0"/>
  </r>
  <r>
    <x v="229"/>
    <x v="1"/>
    <x v="0"/>
    <x v="1"/>
    <x v="5"/>
    <x v="305"/>
    <x v="0"/>
    <x v="305"/>
    <x v="0"/>
  </r>
  <r>
    <x v="230"/>
    <x v="0"/>
    <x v="0"/>
    <x v="1"/>
    <x v="5"/>
    <x v="306"/>
    <x v="0"/>
    <x v="306"/>
    <x v="0"/>
  </r>
  <r>
    <x v="231"/>
    <x v="5"/>
    <x v="0"/>
    <x v="1"/>
    <x v="5"/>
    <x v="307"/>
    <x v="42"/>
    <x v="307"/>
    <x v="0"/>
  </r>
  <r>
    <x v="232"/>
    <x v="5"/>
    <x v="0"/>
    <x v="1"/>
    <x v="5"/>
    <x v="308"/>
    <x v="43"/>
    <x v="308"/>
    <x v="0"/>
  </r>
  <r>
    <x v="233"/>
    <x v="4"/>
    <x v="0"/>
    <x v="1"/>
    <x v="5"/>
    <x v="309"/>
    <x v="0"/>
    <x v="309"/>
    <x v="0"/>
  </r>
  <r>
    <x v="234"/>
    <x v="5"/>
    <x v="0"/>
    <x v="0"/>
    <x v="31"/>
    <x v="310"/>
    <x v="44"/>
    <x v="310"/>
    <x v="0"/>
  </r>
  <r>
    <x v="34"/>
    <x v="0"/>
    <x v="0"/>
    <x v="0"/>
    <x v="18"/>
    <x v="311"/>
    <x v="0"/>
    <x v="311"/>
    <x v="0"/>
  </r>
  <r>
    <x v="235"/>
    <x v="4"/>
    <x v="0"/>
    <x v="1"/>
    <x v="5"/>
    <x v="312"/>
    <x v="0"/>
    <x v="312"/>
    <x v="0"/>
  </r>
  <r>
    <x v="236"/>
    <x v="5"/>
    <x v="0"/>
    <x v="1"/>
    <x v="5"/>
    <x v="313"/>
    <x v="0"/>
    <x v="313"/>
    <x v="0"/>
  </r>
  <r>
    <x v="185"/>
    <x v="5"/>
    <x v="0"/>
    <x v="0"/>
    <x v="29"/>
    <x v="314"/>
    <x v="45"/>
    <x v="314"/>
    <x v="0"/>
  </r>
  <r>
    <x v="237"/>
    <x v="3"/>
    <x v="0"/>
    <x v="1"/>
    <x v="5"/>
    <x v="315"/>
    <x v="46"/>
    <x v="315"/>
    <x v="0"/>
  </r>
  <r>
    <x v="238"/>
    <x v="1"/>
    <x v="0"/>
    <x v="1"/>
    <x v="5"/>
    <x v="316"/>
    <x v="0"/>
    <x v="316"/>
    <x v="0"/>
  </r>
  <r>
    <x v="239"/>
    <x v="1"/>
    <x v="0"/>
    <x v="1"/>
    <x v="5"/>
    <x v="317"/>
    <x v="0"/>
    <x v="317"/>
    <x v="0"/>
  </r>
  <r>
    <x v="240"/>
    <x v="1"/>
    <x v="0"/>
    <x v="1"/>
    <x v="5"/>
    <x v="318"/>
    <x v="0"/>
    <x v="318"/>
    <x v="0"/>
  </r>
  <r>
    <x v="241"/>
    <x v="1"/>
    <x v="0"/>
    <x v="1"/>
    <x v="5"/>
    <x v="319"/>
    <x v="0"/>
    <x v="319"/>
    <x v="0"/>
  </r>
  <r>
    <x v="242"/>
    <x v="1"/>
    <x v="0"/>
    <x v="1"/>
    <x v="5"/>
    <x v="320"/>
    <x v="0"/>
    <x v="320"/>
    <x v="0"/>
  </r>
  <r>
    <x v="243"/>
    <x v="0"/>
    <x v="0"/>
    <x v="1"/>
    <x v="5"/>
    <x v="321"/>
    <x v="0"/>
    <x v="321"/>
    <x v="0"/>
  </r>
  <r>
    <x v="232"/>
    <x v="4"/>
    <x v="0"/>
    <x v="1"/>
    <x v="5"/>
    <x v="322"/>
    <x v="47"/>
    <x v="322"/>
    <x v="0"/>
  </r>
  <r>
    <x v="244"/>
    <x v="1"/>
    <x v="0"/>
    <x v="1"/>
    <x v="5"/>
    <x v="323"/>
    <x v="0"/>
    <x v="323"/>
    <x v="0"/>
  </r>
  <r>
    <x v="245"/>
    <x v="0"/>
    <x v="0"/>
    <x v="1"/>
    <x v="5"/>
    <x v="324"/>
    <x v="0"/>
    <x v="324"/>
    <x v="0"/>
  </r>
  <r>
    <x v="246"/>
    <x v="4"/>
    <x v="0"/>
    <x v="1"/>
    <x v="5"/>
    <x v="325"/>
    <x v="48"/>
    <x v="325"/>
    <x v="0"/>
  </r>
  <r>
    <x v="247"/>
    <x v="4"/>
    <x v="0"/>
    <x v="1"/>
    <x v="5"/>
    <x v="326"/>
    <x v="0"/>
    <x v="326"/>
    <x v="0"/>
  </r>
  <r>
    <x v="248"/>
    <x v="0"/>
    <x v="0"/>
    <x v="1"/>
    <x v="5"/>
    <x v="327"/>
    <x v="0"/>
    <x v="327"/>
    <x v="0"/>
  </r>
  <r>
    <x v="249"/>
    <x v="5"/>
    <x v="0"/>
    <x v="1"/>
    <x v="5"/>
    <x v="328"/>
    <x v="0"/>
    <x v="328"/>
    <x v="0"/>
  </r>
  <r>
    <x v="250"/>
    <x v="0"/>
    <x v="0"/>
    <x v="1"/>
    <x v="5"/>
    <x v="329"/>
    <x v="0"/>
    <x v="329"/>
    <x v="0"/>
  </r>
  <r>
    <x v="251"/>
    <x v="1"/>
    <x v="0"/>
    <x v="1"/>
    <x v="5"/>
    <x v="330"/>
    <x v="0"/>
    <x v="330"/>
    <x v="0"/>
  </r>
  <r>
    <x v="252"/>
    <x v="5"/>
    <x v="0"/>
    <x v="1"/>
    <x v="5"/>
    <x v="331"/>
    <x v="0"/>
    <x v="331"/>
    <x v="0"/>
  </r>
  <r>
    <x v="175"/>
    <x v="1"/>
    <x v="0"/>
    <x v="1"/>
    <x v="5"/>
    <x v="332"/>
    <x v="0"/>
    <x v="332"/>
    <x v="0"/>
  </r>
  <r>
    <x v="253"/>
    <x v="0"/>
    <x v="0"/>
    <x v="1"/>
    <x v="5"/>
    <x v="333"/>
    <x v="0"/>
    <x v="333"/>
    <x v="0"/>
  </r>
  <r>
    <x v="86"/>
    <x v="4"/>
    <x v="0"/>
    <x v="1"/>
    <x v="5"/>
    <x v="334"/>
    <x v="0"/>
    <x v="334"/>
    <x v="0"/>
  </r>
  <r>
    <x v="254"/>
    <x v="5"/>
    <x v="0"/>
    <x v="1"/>
    <x v="5"/>
    <x v="335"/>
    <x v="0"/>
    <x v="335"/>
    <x v="0"/>
  </r>
  <r>
    <x v="255"/>
    <x v="1"/>
    <x v="0"/>
    <x v="1"/>
    <x v="5"/>
    <x v="336"/>
    <x v="0"/>
    <x v="336"/>
    <x v="0"/>
  </r>
  <r>
    <x v="87"/>
    <x v="5"/>
    <x v="0"/>
    <x v="1"/>
    <x v="5"/>
    <x v="337"/>
    <x v="4"/>
    <x v="337"/>
    <x v="0"/>
  </r>
  <r>
    <x v="256"/>
    <x v="1"/>
    <x v="0"/>
    <x v="1"/>
    <x v="5"/>
    <x v="338"/>
    <x v="0"/>
    <x v="338"/>
    <x v="0"/>
  </r>
  <r>
    <x v="257"/>
    <x v="0"/>
    <x v="0"/>
    <x v="1"/>
    <x v="5"/>
    <x v="339"/>
    <x v="0"/>
    <x v="339"/>
    <x v="0"/>
  </r>
  <r>
    <x v="258"/>
    <x v="5"/>
    <x v="0"/>
    <x v="1"/>
    <x v="5"/>
    <x v="340"/>
    <x v="49"/>
    <x v="340"/>
    <x v="0"/>
  </r>
  <r>
    <x v="259"/>
    <x v="5"/>
    <x v="0"/>
    <x v="1"/>
    <x v="5"/>
    <x v="341"/>
    <x v="50"/>
    <x v="341"/>
    <x v="0"/>
  </r>
  <r>
    <x v="260"/>
    <x v="1"/>
    <x v="0"/>
    <x v="1"/>
    <x v="5"/>
    <x v="342"/>
    <x v="0"/>
    <x v="342"/>
    <x v="0"/>
  </r>
  <r>
    <x v="261"/>
    <x v="1"/>
    <x v="0"/>
    <x v="1"/>
    <x v="5"/>
    <x v="343"/>
    <x v="0"/>
    <x v="343"/>
    <x v="0"/>
  </r>
  <r>
    <x v="135"/>
    <x v="0"/>
    <x v="0"/>
    <x v="1"/>
    <x v="5"/>
    <x v="344"/>
    <x v="0"/>
    <x v="344"/>
    <x v="0"/>
  </r>
  <r>
    <x v="262"/>
    <x v="1"/>
    <x v="0"/>
    <x v="1"/>
    <x v="5"/>
    <x v="345"/>
    <x v="51"/>
    <x v="345"/>
    <x v="0"/>
  </r>
  <r>
    <x v="263"/>
    <x v="5"/>
    <x v="0"/>
    <x v="1"/>
    <x v="5"/>
    <x v="346"/>
    <x v="0"/>
    <x v="346"/>
    <x v="0"/>
  </r>
  <r>
    <x v="264"/>
    <x v="5"/>
    <x v="0"/>
    <x v="1"/>
    <x v="5"/>
    <x v="347"/>
    <x v="52"/>
    <x v="347"/>
    <x v="0"/>
  </r>
  <r>
    <x v="265"/>
    <x v="5"/>
    <x v="0"/>
    <x v="1"/>
    <x v="5"/>
    <x v="348"/>
    <x v="0"/>
    <x v="348"/>
    <x v="0"/>
  </r>
  <r>
    <x v="266"/>
    <x v="1"/>
    <x v="0"/>
    <x v="1"/>
    <x v="5"/>
    <x v="349"/>
    <x v="0"/>
    <x v="349"/>
    <x v="0"/>
  </r>
  <r>
    <x v="267"/>
    <x v="0"/>
    <x v="0"/>
    <x v="1"/>
    <x v="5"/>
    <x v="350"/>
    <x v="0"/>
    <x v="350"/>
    <x v="0"/>
  </r>
  <r>
    <x v="268"/>
    <x v="1"/>
    <x v="0"/>
    <x v="1"/>
    <x v="5"/>
    <x v="351"/>
    <x v="53"/>
    <x v="351"/>
    <x v="0"/>
  </r>
  <r>
    <x v="269"/>
    <x v="5"/>
    <x v="0"/>
    <x v="1"/>
    <x v="5"/>
    <x v="352"/>
    <x v="0"/>
    <x v="352"/>
    <x v="0"/>
  </r>
  <r>
    <x v="158"/>
    <x v="5"/>
    <x v="0"/>
    <x v="1"/>
    <x v="5"/>
    <x v="353"/>
    <x v="4"/>
    <x v="353"/>
    <x v="0"/>
  </r>
  <r>
    <x v="270"/>
    <x v="5"/>
    <x v="0"/>
    <x v="1"/>
    <x v="5"/>
    <x v="354"/>
    <x v="0"/>
    <x v="354"/>
    <x v="0"/>
  </r>
  <r>
    <x v="271"/>
    <x v="0"/>
    <x v="0"/>
    <x v="1"/>
    <x v="5"/>
    <x v="355"/>
    <x v="0"/>
    <x v="355"/>
    <x v="0"/>
  </r>
  <r>
    <x v="272"/>
    <x v="5"/>
    <x v="0"/>
    <x v="1"/>
    <x v="5"/>
    <x v="356"/>
    <x v="0"/>
    <x v="356"/>
    <x v="0"/>
  </r>
  <r>
    <x v="273"/>
    <x v="5"/>
    <x v="0"/>
    <x v="1"/>
    <x v="5"/>
    <x v="357"/>
    <x v="0"/>
    <x v="357"/>
    <x v="0"/>
  </r>
  <r>
    <x v="274"/>
    <x v="5"/>
    <x v="0"/>
    <x v="1"/>
    <x v="5"/>
    <x v="358"/>
    <x v="0"/>
    <x v="358"/>
    <x v="0"/>
  </r>
  <r>
    <x v="275"/>
    <x v="5"/>
    <x v="0"/>
    <x v="1"/>
    <x v="5"/>
    <x v="359"/>
    <x v="0"/>
    <x v="359"/>
    <x v="0"/>
  </r>
  <r>
    <x v="276"/>
    <x v="0"/>
    <x v="0"/>
    <x v="1"/>
    <x v="5"/>
    <x v="360"/>
    <x v="0"/>
    <x v="360"/>
    <x v="0"/>
  </r>
  <r>
    <x v="277"/>
    <x v="1"/>
    <x v="0"/>
    <x v="1"/>
    <x v="5"/>
    <x v="361"/>
    <x v="54"/>
    <x v="361"/>
    <x v="0"/>
  </r>
  <r>
    <x v="120"/>
    <x v="5"/>
    <x v="0"/>
    <x v="1"/>
    <x v="5"/>
    <x v="362"/>
    <x v="55"/>
    <x v="362"/>
    <x v="0"/>
  </r>
  <r>
    <x v="278"/>
    <x v="5"/>
    <x v="0"/>
    <x v="1"/>
    <x v="5"/>
    <x v="363"/>
    <x v="56"/>
    <x v="363"/>
    <x v="0"/>
  </r>
  <r>
    <x v="235"/>
    <x v="5"/>
    <x v="0"/>
    <x v="1"/>
    <x v="5"/>
    <x v="364"/>
    <x v="0"/>
    <x v="364"/>
    <x v="0"/>
  </r>
  <r>
    <x v="279"/>
    <x v="0"/>
    <x v="0"/>
    <x v="1"/>
    <x v="5"/>
    <x v="365"/>
    <x v="0"/>
    <x v="365"/>
    <x v="0"/>
  </r>
  <r>
    <x v="246"/>
    <x v="5"/>
    <x v="0"/>
    <x v="1"/>
    <x v="5"/>
    <x v="366"/>
    <x v="57"/>
    <x v="366"/>
    <x v="0"/>
  </r>
  <r>
    <x v="280"/>
    <x v="1"/>
    <x v="0"/>
    <x v="1"/>
    <x v="5"/>
    <x v="367"/>
    <x v="0"/>
    <x v="367"/>
    <x v="0"/>
  </r>
  <r>
    <x v="281"/>
    <x v="1"/>
    <x v="0"/>
    <x v="1"/>
    <x v="5"/>
    <x v="368"/>
    <x v="0"/>
    <x v="368"/>
    <x v="0"/>
  </r>
  <r>
    <x v="28"/>
    <x v="1"/>
    <x v="0"/>
    <x v="1"/>
    <x v="5"/>
    <x v="369"/>
    <x v="0"/>
    <x v="369"/>
    <x v="0"/>
  </r>
  <r>
    <x v="282"/>
    <x v="0"/>
    <x v="0"/>
    <x v="1"/>
    <x v="5"/>
    <x v="370"/>
    <x v="0"/>
    <x v="370"/>
    <x v="0"/>
  </r>
  <r>
    <x v="283"/>
    <x v="1"/>
    <x v="0"/>
    <x v="1"/>
    <x v="5"/>
    <x v="371"/>
    <x v="0"/>
    <x v="371"/>
    <x v="0"/>
  </r>
  <r>
    <x v="4"/>
    <x v="1"/>
    <x v="0"/>
    <x v="0"/>
    <x v="4"/>
    <x v="372"/>
    <x v="0"/>
    <x v="372"/>
    <x v="0"/>
  </r>
  <r>
    <x v="284"/>
    <x v="0"/>
    <x v="0"/>
    <x v="1"/>
    <x v="5"/>
    <x v="373"/>
    <x v="0"/>
    <x v="373"/>
    <x v="0"/>
  </r>
  <r>
    <x v="49"/>
    <x v="4"/>
    <x v="0"/>
    <x v="1"/>
    <x v="5"/>
    <x v="374"/>
    <x v="3"/>
    <x v="374"/>
    <x v="0"/>
  </r>
  <r>
    <x v="285"/>
    <x v="0"/>
    <x v="0"/>
    <x v="1"/>
    <x v="5"/>
    <x v="375"/>
    <x v="0"/>
    <x v="375"/>
    <x v="0"/>
  </r>
  <r>
    <x v="286"/>
    <x v="0"/>
    <x v="0"/>
    <x v="1"/>
    <x v="5"/>
    <x v="376"/>
    <x v="0"/>
    <x v="376"/>
    <x v="0"/>
  </r>
  <r>
    <x v="287"/>
    <x v="5"/>
    <x v="0"/>
    <x v="1"/>
    <x v="5"/>
    <x v="286"/>
    <x v="58"/>
    <x v="377"/>
    <x v="0"/>
  </r>
  <r>
    <x v="288"/>
    <x v="1"/>
    <x v="0"/>
    <x v="1"/>
    <x v="5"/>
    <x v="377"/>
    <x v="0"/>
    <x v="378"/>
    <x v="0"/>
  </r>
  <r>
    <x v="203"/>
    <x v="0"/>
    <x v="0"/>
    <x v="1"/>
    <x v="5"/>
    <x v="378"/>
    <x v="0"/>
    <x v="379"/>
    <x v="0"/>
  </r>
  <r>
    <x v="47"/>
    <x v="5"/>
    <x v="0"/>
    <x v="1"/>
    <x v="5"/>
    <x v="379"/>
    <x v="4"/>
    <x v="380"/>
    <x v="0"/>
  </r>
  <r>
    <x v="241"/>
    <x v="0"/>
    <x v="0"/>
    <x v="1"/>
    <x v="5"/>
    <x v="380"/>
    <x v="0"/>
    <x v="381"/>
    <x v="0"/>
  </r>
  <r>
    <x v="289"/>
    <x v="5"/>
    <x v="0"/>
    <x v="0"/>
    <x v="32"/>
    <x v="381"/>
    <x v="59"/>
    <x v="382"/>
    <x v="0"/>
  </r>
  <r>
    <x v="290"/>
    <x v="5"/>
    <x v="0"/>
    <x v="1"/>
    <x v="5"/>
    <x v="382"/>
    <x v="0"/>
    <x v="383"/>
    <x v="0"/>
  </r>
  <r>
    <x v="291"/>
    <x v="0"/>
    <x v="0"/>
    <x v="1"/>
    <x v="5"/>
    <x v="383"/>
    <x v="0"/>
    <x v="384"/>
    <x v="0"/>
  </r>
  <r>
    <x v="292"/>
    <x v="4"/>
    <x v="0"/>
    <x v="1"/>
    <x v="5"/>
    <x v="384"/>
    <x v="0"/>
    <x v="385"/>
    <x v="0"/>
  </r>
  <r>
    <x v="293"/>
    <x v="0"/>
    <x v="0"/>
    <x v="1"/>
    <x v="5"/>
    <x v="385"/>
    <x v="0"/>
    <x v="386"/>
    <x v="0"/>
  </r>
  <r>
    <x v="294"/>
    <x v="5"/>
    <x v="0"/>
    <x v="1"/>
    <x v="5"/>
    <x v="386"/>
    <x v="0"/>
    <x v="387"/>
    <x v="0"/>
  </r>
  <r>
    <x v="295"/>
    <x v="1"/>
    <x v="0"/>
    <x v="1"/>
    <x v="5"/>
    <x v="387"/>
    <x v="0"/>
    <x v="388"/>
    <x v="0"/>
  </r>
  <r>
    <x v="296"/>
    <x v="5"/>
    <x v="0"/>
    <x v="1"/>
    <x v="5"/>
    <x v="388"/>
    <x v="0"/>
    <x v="389"/>
    <x v="0"/>
  </r>
  <r>
    <x v="221"/>
    <x v="4"/>
    <x v="0"/>
    <x v="1"/>
    <x v="5"/>
    <x v="389"/>
    <x v="3"/>
    <x v="390"/>
    <x v="0"/>
  </r>
  <r>
    <x v="297"/>
    <x v="4"/>
    <x v="0"/>
    <x v="1"/>
    <x v="5"/>
    <x v="390"/>
    <x v="0"/>
    <x v="391"/>
    <x v="0"/>
  </r>
  <r>
    <x v="11"/>
    <x v="3"/>
    <x v="0"/>
    <x v="0"/>
    <x v="8"/>
    <x v="391"/>
    <x v="60"/>
    <x v="392"/>
    <x v="0"/>
  </r>
  <r>
    <x v="298"/>
    <x v="5"/>
    <x v="0"/>
    <x v="1"/>
    <x v="5"/>
    <x v="392"/>
    <x v="0"/>
    <x v="393"/>
    <x v="0"/>
  </r>
  <r>
    <x v="252"/>
    <x v="3"/>
    <x v="0"/>
    <x v="1"/>
    <x v="5"/>
    <x v="393"/>
    <x v="0"/>
    <x v="394"/>
    <x v="0"/>
  </r>
  <r>
    <x v="299"/>
    <x v="1"/>
    <x v="0"/>
    <x v="1"/>
    <x v="5"/>
    <x v="394"/>
    <x v="0"/>
    <x v="395"/>
    <x v="0"/>
  </r>
  <r>
    <x v="300"/>
    <x v="5"/>
    <x v="0"/>
    <x v="1"/>
    <x v="5"/>
    <x v="395"/>
    <x v="0"/>
    <x v="396"/>
    <x v="0"/>
  </r>
  <r>
    <x v="164"/>
    <x v="1"/>
    <x v="0"/>
    <x v="0"/>
    <x v="28"/>
    <x v="396"/>
    <x v="0"/>
    <x v="397"/>
    <x v="0"/>
  </r>
  <r>
    <x v="301"/>
    <x v="5"/>
    <x v="0"/>
    <x v="1"/>
    <x v="5"/>
    <x v="397"/>
    <x v="0"/>
    <x v="398"/>
    <x v="0"/>
  </r>
  <r>
    <x v="302"/>
    <x v="5"/>
    <x v="0"/>
    <x v="1"/>
    <x v="5"/>
    <x v="398"/>
    <x v="0"/>
    <x v="399"/>
    <x v="0"/>
  </r>
  <r>
    <x v="82"/>
    <x v="0"/>
    <x v="0"/>
    <x v="1"/>
    <x v="5"/>
    <x v="399"/>
    <x v="61"/>
    <x v="400"/>
    <x v="0"/>
  </r>
  <r>
    <x v="303"/>
    <x v="5"/>
    <x v="0"/>
    <x v="1"/>
    <x v="5"/>
    <x v="400"/>
    <x v="0"/>
    <x v="401"/>
    <x v="0"/>
  </r>
  <r>
    <x v="304"/>
    <x v="5"/>
    <x v="0"/>
    <x v="1"/>
    <x v="5"/>
    <x v="401"/>
    <x v="0"/>
    <x v="402"/>
    <x v="0"/>
  </r>
  <r>
    <x v="305"/>
    <x v="5"/>
    <x v="0"/>
    <x v="1"/>
    <x v="5"/>
    <x v="402"/>
    <x v="0"/>
    <x v="403"/>
    <x v="0"/>
  </r>
  <r>
    <x v="306"/>
    <x v="5"/>
    <x v="0"/>
    <x v="1"/>
    <x v="5"/>
    <x v="403"/>
    <x v="62"/>
    <x v="404"/>
    <x v="0"/>
  </r>
  <r>
    <x v="307"/>
    <x v="5"/>
    <x v="0"/>
    <x v="1"/>
    <x v="5"/>
    <x v="404"/>
    <x v="63"/>
    <x v="405"/>
    <x v="0"/>
  </r>
  <r>
    <x v="308"/>
    <x v="0"/>
    <x v="0"/>
    <x v="1"/>
    <x v="5"/>
    <x v="405"/>
    <x v="0"/>
    <x v="406"/>
    <x v="0"/>
  </r>
  <r>
    <x v="309"/>
    <x v="5"/>
    <x v="0"/>
    <x v="1"/>
    <x v="5"/>
    <x v="406"/>
    <x v="64"/>
    <x v="407"/>
    <x v="0"/>
  </r>
  <r>
    <x v="310"/>
    <x v="4"/>
    <x v="0"/>
    <x v="1"/>
    <x v="5"/>
    <x v="407"/>
    <x v="65"/>
    <x v="408"/>
    <x v="0"/>
  </r>
  <r>
    <x v="22"/>
    <x v="2"/>
    <x v="0"/>
    <x v="0"/>
    <x v="13"/>
    <x v="408"/>
    <x v="0"/>
    <x v="409"/>
    <x v="0"/>
  </r>
  <r>
    <x v="311"/>
    <x v="1"/>
    <x v="0"/>
    <x v="1"/>
    <x v="5"/>
    <x v="409"/>
    <x v="0"/>
    <x v="410"/>
    <x v="0"/>
  </r>
  <r>
    <x v="312"/>
    <x v="4"/>
    <x v="0"/>
    <x v="1"/>
    <x v="5"/>
    <x v="410"/>
    <x v="0"/>
    <x v="411"/>
    <x v="0"/>
  </r>
  <r>
    <x v="313"/>
    <x v="0"/>
    <x v="0"/>
    <x v="1"/>
    <x v="5"/>
    <x v="411"/>
    <x v="0"/>
    <x v="412"/>
    <x v="0"/>
  </r>
  <r>
    <x v="314"/>
    <x v="0"/>
    <x v="0"/>
    <x v="1"/>
    <x v="5"/>
    <x v="412"/>
    <x v="0"/>
    <x v="413"/>
    <x v="0"/>
  </r>
  <r>
    <x v="274"/>
    <x v="3"/>
    <x v="0"/>
    <x v="1"/>
    <x v="5"/>
    <x v="413"/>
    <x v="0"/>
    <x v="414"/>
    <x v="0"/>
  </r>
  <r>
    <x v="315"/>
    <x v="0"/>
    <x v="0"/>
    <x v="1"/>
    <x v="5"/>
    <x v="414"/>
    <x v="0"/>
    <x v="415"/>
    <x v="0"/>
  </r>
  <r>
    <x v="316"/>
    <x v="4"/>
    <x v="0"/>
    <x v="1"/>
    <x v="5"/>
    <x v="415"/>
    <x v="66"/>
    <x v="416"/>
    <x v="0"/>
  </r>
  <r>
    <x v="317"/>
    <x v="0"/>
    <x v="0"/>
    <x v="1"/>
    <x v="5"/>
    <x v="416"/>
    <x v="0"/>
    <x v="417"/>
    <x v="0"/>
  </r>
  <r>
    <x v="318"/>
    <x v="1"/>
    <x v="0"/>
    <x v="1"/>
    <x v="5"/>
    <x v="417"/>
    <x v="0"/>
    <x v="418"/>
    <x v="0"/>
  </r>
  <r>
    <x v="315"/>
    <x v="1"/>
    <x v="0"/>
    <x v="1"/>
    <x v="5"/>
    <x v="418"/>
    <x v="0"/>
    <x v="419"/>
    <x v="0"/>
  </r>
  <r>
    <x v="188"/>
    <x v="5"/>
    <x v="0"/>
    <x v="0"/>
    <x v="30"/>
    <x v="419"/>
    <x v="67"/>
    <x v="420"/>
    <x v="0"/>
  </r>
  <r>
    <x v="204"/>
    <x v="5"/>
    <x v="0"/>
    <x v="1"/>
    <x v="5"/>
    <x v="420"/>
    <x v="4"/>
    <x v="421"/>
    <x v="0"/>
  </r>
  <r>
    <x v="319"/>
    <x v="4"/>
    <x v="0"/>
    <x v="1"/>
    <x v="5"/>
    <x v="421"/>
    <x v="68"/>
    <x v="422"/>
    <x v="0"/>
  </r>
  <r>
    <x v="320"/>
    <x v="1"/>
    <x v="0"/>
    <x v="1"/>
    <x v="5"/>
    <x v="422"/>
    <x v="0"/>
    <x v="423"/>
    <x v="0"/>
  </r>
  <r>
    <x v="321"/>
    <x v="5"/>
    <x v="0"/>
    <x v="1"/>
    <x v="5"/>
    <x v="423"/>
    <x v="0"/>
    <x v="424"/>
    <x v="0"/>
  </r>
  <r>
    <x v="322"/>
    <x v="5"/>
    <x v="0"/>
    <x v="0"/>
    <x v="33"/>
    <x v="424"/>
    <x v="69"/>
    <x v="425"/>
    <x v="0"/>
  </r>
  <r>
    <x v="87"/>
    <x v="1"/>
    <x v="0"/>
    <x v="1"/>
    <x v="5"/>
    <x v="425"/>
    <x v="70"/>
    <x v="426"/>
    <x v="0"/>
  </r>
  <r>
    <x v="323"/>
    <x v="5"/>
    <x v="0"/>
    <x v="1"/>
    <x v="5"/>
    <x v="426"/>
    <x v="0"/>
    <x v="427"/>
    <x v="0"/>
  </r>
  <r>
    <x v="250"/>
    <x v="1"/>
    <x v="0"/>
    <x v="1"/>
    <x v="5"/>
    <x v="427"/>
    <x v="0"/>
    <x v="428"/>
    <x v="0"/>
  </r>
  <r>
    <x v="324"/>
    <x v="1"/>
    <x v="0"/>
    <x v="1"/>
    <x v="5"/>
    <x v="428"/>
    <x v="0"/>
    <x v="429"/>
    <x v="0"/>
  </r>
  <r>
    <x v="325"/>
    <x v="4"/>
    <x v="0"/>
    <x v="1"/>
    <x v="5"/>
    <x v="429"/>
    <x v="0"/>
    <x v="430"/>
    <x v="0"/>
  </r>
  <r>
    <x v="326"/>
    <x v="5"/>
    <x v="0"/>
    <x v="1"/>
    <x v="5"/>
    <x v="430"/>
    <x v="71"/>
    <x v="431"/>
    <x v="0"/>
  </r>
  <r>
    <x v="327"/>
    <x v="5"/>
    <x v="0"/>
    <x v="1"/>
    <x v="5"/>
    <x v="431"/>
    <x v="0"/>
    <x v="432"/>
    <x v="0"/>
  </r>
  <r>
    <x v="328"/>
    <x v="4"/>
    <x v="0"/>
    <x v="1"/>
    <x v="5"/>
    <x v="429"/>
    <x v="72"/>
    <x v="433"/>
    <x v="0"/>
  </r>
  <r>
    <x v="329"/>
    <x v="4"/>
    <x v="0"/>
    <x v="1"/>
    <x v="5"/>
    <x v="432"/>
    <x v="0"/>
    <x v="434"/>
    <x v="0"/>
  </r>
  <r>
    <x v="330"/>
    <x v="5"/>
    <x v="0"/>
    <x v="1"/>
    <x v="5"/>
    <x v="433"/>
    <x v="0"/>
    <x v="435"/>
    <x v="0"/>
  </r>
  <r>
    <x v="331"/>
    <x v="0"/>
    <x v="0"/>
    <x v="1"/>
    <x v="5"/>
    <x v="434"/>
    <x v="0"/>
    <x v="436"/>
    <x v="0"/>
  </r>
  <r>
    <x v="332"/>
    <x v="5"/>
    <x v="0"/>
    <x v="1"/>
    <x v="5"/>
    <x v="435"/>
    <x v="0"/>
    <x v="437"/>
    <x v="0"/>
  </r>
  <r>
    <x v="333"/>
    <x v="4"/>
    <x v="0"/>
    <x v="1"/>
    <x v="5"/>
    <x v="436"/>
    <x v="0"/>
    <x v="438"/>
    <x v="0"/>
  </r>
  <r>
    <x v="334"/>
    <x v="4"/>
    <x v="0"/>
    <x v="1"/>
    <x v="5"/>
    <x v="436"/>
    <x v="0"/>
    <x v="438"/>
    <x v="0"/>
  </r>
  <r>
    <x v="92"/>
    <x v="0"/>
    <x v="0"/>
    <x v="1"/>
    <x v="5"/>
    <x v="437"/>
    <x v="0"/>
    <x v="439"/>
    <x v="0"/>
  </r>
  <r>
    <x v="85"/>
    <x v="5"/>
    <x v="0"/>
    <x v="1"/>
    <x v="5"/>
    <x v="438"/>
    <x v="4"/>
    <x v="440"/>
    <x v="0"/>
  </r>
  <r>
    <x v="335"/>
    <x v="0"/>
    <x v="0"/>
    <x v="1"/>
    <x v="5"/>
    <x v="439"/>
    <x v="0"/>
    <x v="441"/>
    <x v="0"/>
  </r>
  <r>
    <x v="336"/>
    <x v="5"/>
    <x v="0"/>
    <x v="1"/>
    <x v="5"/>
    <x v="440"/>
    <x v="0"/>
    <x v="442"/>
    <x v="0"/>
  </r>
  <r>
    <x v="337"/>
    <x v="5"/>
    <x v="0"/>
    <x v="1"/>
    <x v="5"/>
    <x v="441"/>
    <x v="0"/>
    <x v="443"/>
    <x v="0"/>
  </r>
  <r>
    <x v="180"/>
    <x v="4"/>
    <x v="0"/>
    <x v="1"/>
    <x v="5"/>
    <x v="442"/>
    <x v="0"/>
    <x v="444"/>
    <x v="0"/>
  </r>
  <r>
    <x v="338"/>
    <x v="4"/>
    <x v="0"/>
    <x v="1"/>
    <x v="5"/>
    <x v="443"/>
    <x v="73"/>
    <x v="445"/>
    <x v="0"/>
  </r>
  <r>
    <x v="339"/>
    <x v="1"/>
    <x v="0"/>
    <x v="1"/>
    <x v="5"/>
    <x v="444"/>
    <x v="0"/>
    <x v="446"/>
    <x v="0"/>
  </r>
  <r>
    <x v="340"/>
    <x v="5"/>
    <x v="0"/>
    <x v="1"/>
    <x v="5"/>
    <x v="445"/>
    <x v="0"/>
    <x v="447"/>
    <x v="0"/>
  </r>
  <r>
    <x v="341"/>
    <x v="5"/>
    <x v="0"/>
    <x v="1"/>
    <x v="5"/>
    <x v="446"/>
    <x v="0"/>
    <x v="448"/>
    <x v="0"/>
  </r>
  <r>
    <x v="342"/>
    <x v="5"/>
    <x v="0"/>
    <x v="1"/>
    <x v="5"/>
    <x v="447"/>
    <x v="0"/>
    <x v="449"/>
    <x v="0"/>
  </r>
  <r>
    <x v="343"/>
    <x v="1"/>
    <x v="0"/>
    <x v="1"/>
    <x v="5"/>
    <x v="448"/>
    <x v="74"/>
    <x v="450"/>
    <x v="0"/>
  </r>
  <r>
    <x v="344"/>
    <x v="4"/>
    <x v="0"/>
    <x v="1"/>
    <x v="5"/>
    <x v="449"/>
    <x v="0"/>
    <x v="451"/>
    <x v="0"/>
  </r>
  <r>
    <x v="345"/>
    <x v="1"/>
    <x v="0"/>
    <x v="1"/>
    <x v="5"/>
    <x v="450"/>
    <x v="0"/>
    <x v="452"/>
    <x v="0"/>
  </r>
  <r>
    <x v="120"/>
    <x v="4"/>
    <x v="0"/>
    <x v="1"/>
    <x v="5"/>
    <x v="451"/>
    <x v="75"/>
    <x v="453"/>
    <x v="0"/>
  </r>
  <r>
    <x v="346"/>
    <x v="1"/>
    <x v="0"/>
    <x v="1"/>
    <x v="5"/>
    <x v="452"/>
    <x v="0"/>
    <x v="454"/>
    <x v="0"/>
  </r>
  <r>
    <x v="347"/>
    <x v="5"/>
    <x v="0"/>
    <x v="1"/>
    <x v="5"/>
    <x v="453"/>
    <x v="0"/>
    <x v="455"/>
    <x v="0"/>
  </r>
  <r>
    <x v="348"/>
    <x v="1"/>
    <x v="0"/>
    <x v="1"/>
    <x v="5"/>
    <x v="454"/>
    <x v="0"/>
    <x v="456"/>
    <x v="0"/>
  </r>
  <r>
    <x v="349"/>
    <x v="3"/>
    <x v="0"/>
    <x v="1"/>
    <x v="5"/>
    <x v="455"/>
    <x v="76"/>
    <x v="457"/>
    <x v="0"/>
  </r>
  <r>
    <x v="350"/>
    <x v="0"/>
    <x v="0"/>
    <x v="1"/>
    <x v="5"/>
    <x v="456"/>
    <x v="0"/>
    <x v="458"/>
    <x v="0"/>
  </r>
  <r>
    <x v="46"/>
    <x v="5"/>
    <x v="0"/>
    <x v="1"/>
    <x v="5"/>
    <x v="457"/>
    <x v="4"/>
    <x v="459"/>
    <x v="0"/>
  </r>
  <r>
    <x v="27"/>
    <x v="1"/>
    <x v="0"/>
    <x v="0"/>
    <x v="14"/>
    <x v="458"/>
    <x v="0"/>
    <x v="460"/>
    <x v="0"/>
  </r>
  <r>
    <x v="351"/>
    <x v="5"/>
    <x v="0"/>
    <x v="1"/>
    <x v="5"/>
    <x v="459"/>
    <x v="77"/>
    <x v="461"/>
    <x v="0"/>
  </r>
  <r>
    <x v="352"/>
    <x v="5"/>
    <x v="0"/>
    <x v="1"/>
    <x v="5"/>
    <x v="460"/>
    <x v="0"/>
    <x v="462"/>
    <x v="0"/>
  </r>
  <r>
    <x v="353"/>
    <x v="1"/>
    <x v="0"/>
    <x v="1"/>
    <x v="5"/>
    <x v="461"/>
    <x v="0"/>
    <x v="463"/>
    <x v="0"/>
  </r>
  <r>
    <x v="354"/>
    <x v="4"/>
    <x v="0"/>
    <x v="1"/>
    <x v="5"/>
    <x v="462"/>
    <x v="0"/>
    <x v="464"/>
    <x v="0"/>
  </r>
  <r>
    <x v="72"/>
    <x v="5"/>
    <x v="0"/>
    <x v="1"/>
    <x v="5"/>
    <x v="463"/>
    <x v="78"/>
    <x v="465"/>
    <x v="0"/>
  </r>
  <r>
    <x v="295"/>
    <x v="0"/>
    <x v="0"/>
    <x v="1"/>
    <x v="5"/>
    <x v="464"/>
    <x v="0"/>
    <x v="466"/>
    <x v="0"/>
  </r>
  <r>
    <x v="355"/>
    <x v="0"/>
    <x v="0"/>
    <x v="1"/>
    <x v="5"/>
    <x v="465"/>
    <x v="0"/>
    <x v="467"/>
    <x v="0"/>
  </r>
  <r>
    <x v="305"/>
    <x v="4"/>
    <x v="0"/>
    <x v="1"/>
    <x v="5"/>
    <x v="466"/>
    <x v="0"/>
    <x v="468"/>
    <x v="0"/>
  </r>
  <r>
    <x v="356"/>
    <x v="1"/>
    <x v="0"/>
    <x v="1"/>
    <x v="5"/>
    <x v="467"/>
    <x v="0"/>
    <x v="469"/>
    <x v="0"/>
  </r>
  <r>
    <x v="357"/>
    <x v="0"/>
    <x v="0"/>
    <x v="1"/>
    <x v="5"/>
    <x v="468"/>
    <x v="0"/>
    <x v="470"/>
    <x v="0"/>
  </r>
  <r>
    <x v="207"/>
    <x v="5"/>
    <x v="0"/>
    <x v="1"/>
    <x v="5"/>
    <x v="469"/>
    <x v="79"/>
    <x v="471"/>
    <x v="0"/>
  </r>
  <r>
    <x v="358"/>
    <x v="5"/>
    <x v="0"/>
    <x v="1"/>
    <x v="5"/>
    <x v="470"/>
    <x v="80"/>
    <x v="472"/>
    <x v="0"/>
  </r>
  <r>
    <x v="90"/>
    <x v="1"/>
    <x v="0"/>
    <x v="1"/>
    <x v="5"/>
    <x v="471"/>
    <x v="0"/>
    <x v="473"/>
    <x v="0"/>
  </r>
  <r>
    <x v="110"/>
    <x v="1"/>
    <x v="0"/>
    <x v="1"/>
    <x v="5"/>
    <x v="472"/>
    <x v="0"/>
    <x v="474"/>
    <x v="0"/>
  </r>
  <r>
    <x v="95"/>
    <x v="5"/>
    <x v="0"/>
    <x v="1"/>
    <x v="5"/>
    <x v="473"/>
    <x v="4"/>
    <x v="475"/>
    <x v="0"/>
  </r>
  <r>
    <x v="359"/>
    <x v="5"/>
    <x v="0"/>
    <x v="1"/>
    <x v="5"/>
    <x v="474"/>
    <x v="81"/>
    <x v="476"/>
    <x v="0"/>
  </r>
  <r>
    <x v="360"/>
    <x v="0"/>
    <x v="0"/>
    <x v="1"/>
    <x v="5"/>
    <x v="475"/>
    <x v="0"/>
    <x v="477"/>
    <x v="0"/>
  </r>
  <r>
    <x v="361"/>
    <x v="5"/>
    <x v="0"/>
    <x v="1"/>
    <x v="5"/>
    <x v="476"/>
    <x v="82"/>
    <x v="478"/>
    <x v="0"/>
  </r>
  <r>
    <x v="49"/>
    <x v="5"/>
    <x v="0"/>
    <x v="1"/>
    <x v="5"/>
    <x v="477"/>
    <x v="4"/>
    <x v="479"/>
    <x v="0"/>
  </r>
  <r>
    <x v="362"/>
    <x v="0"/>
    <x v="0"/>
    <x v="1"/>
    <x v="5"/>
    <x v="478"/>
    <x v="0"/>
    <x v="480"/>
    <x v="0"/>
  </r>
  <r>
    <x v="363"/>
    <x v="5"/>
    <x v="0"/>
    <x v="1"/>
    <x v="5"/>
    <x v="479"/>
    <x v="4"/>
    <x v="481"/>
    <x v="0"/>
  </r>
  <r>
    <x v="364"/>
    <x v="4"/>
    <x v="0"/>
    <x v="0"/>
    <x v="34"/>
    <x v="480"/>
    <x v="0"/>
    <x v="482"/>
    <x v="0"/>
  </r>
  <r>
    <x v="365"/>
    <x v="5"/>
    <x v="0"/>
    <x v="0"/>
    <x v="35"/>
    <x v="481"/>
    <x v="83"/>
    <x v="483"/>
    <x v="0"/>
  </r>
  <r>
    <x v="366"/>
    <x v="5"/>
    <x v="0"/>
    <x v="1"/>
    <x v="5"/>
    <x v="482"/>
    <x v="84"/>
    <x v="484"/>
    <x v="0"/>
  </r>
  <r>
    <x v="367"/>
    <x v="1"/>
    <x v="0"/>
    <x v="1"/>
    <x v="5"/>
    <x v="483"/>
    <x v="0"/>
    <x v="485"/>
    <x v="0"/>
  </r>
  <r>
    <x v="275"/>
    <x v="3"/>
    <x v="0"/>
    <x v="1"/>
    <x v="5"/>
    <x v="484"/>
    <x v="0"/>
    <x v="486"/>
    <x v="0"/>
  </r>
  <r>
    <x v="28"/>
    <x v="4"/>
    <x v="0"/>
    <x v="1"/>
    <x v="5"/>
    <x v="485"/>
    <x v="85"/>
    <x v="487"/>
    <x v="0"/>
  </r>
  <r>
    <x v="368"/>
    <x v="0"/>
    <x v="0"/>
    <x v="0"/>
    <x v="36"/>
    <x v="486"/>
    <x v="86"/>
    <x v="488"/>
    <x v="0"/>
  </r>
  <r>
    <x v="369"/>
    <x v="0"/>
    <x v="0"/>
    <x v="1"/>
    <x v="5"/>
    <x v="487"/>
    <x v="0"/>
    <x v="489"/>
    <x v="0"/>
  </r>
  <r>
    <x v="94"/>
    <x v="5"/>
    <x v="0"/>
    <x v="1"/>
    <x v="5"/>
    <x v="488"/>
    <x v="87"/>
    <x v="490"/>
    <x v="0"/>
  </r>
  <r>
    <x v="370"/>
    <x v="5"/>
    <x v="0"/>
    <x v="1"/>
    <x v="5"/>
    <x v="489"/>
    <x v="0"/>
    <x v="491"/>
    <x v="0"/>
  </r>
  <r>
    <x v="371"/>
    <x v="1"/>
    <x v="0"/>
    <x v="1"/>
    <x v="5"/>
    <x v="490"/>
    <x v="0"/>
    <x v="492"/>
    <x v="0"/>
  </r>
  <r>
    <x v="299"/>
    <x v="5"/>
    <x v="0"/>
    <x v="1"/>
    <x v="5"/>
    <x v="491"/>
    <x v="4"/>
    <x v="493"/>
    <x v="0"/>
  </r>
  <r>
    <x v="372"/>
    <x v="0"/>
    <x v="0"/>
    <x v="0"/>
    <x v="37"/>
    <x v="492"/>
    <x v="0"/>
    <x v="494"/>
    <x v="0"/>
  </r>
  <r>
    <x v="10"/>
    <x v="5"/>
    <x v="0"/>
    <x v="1"/>
    <x v="5"/>
    <x v="493"/>
    <x v="88"/>
    <x v="495"/>
    <x v="0"/>
  </r>
  <r>
    <x v="373"/>
    <x v="3"/>
    <x v="0"/>
    <x v="1"/>
    <x v="5"/>
    <x v="494"/>
    <x v="89"/>
    <x v="496"/>
    <x v="0"/>
  </r>
  <r>
    <x v="374"/>
    <x v="0"/>
    <x v="0"/>
    <x v="1"/>
    <x v="5"/>
    <x v="495"/>
    <x v="0"/>
    <x v="497"/>
    <x v="0"/>
  </r>
  <r>
    <x v="375"/>
    <x v="4"/>
    <x v="0"/>
    <x v="1"/>
    <x v="5"/>
    <x v="496"/>
    <x v="0"/>
    <x v="498"/>
    <x v="0"/>
  </r>
  <r>
    <x v="365"/>
    <x v="3"/>
    <x v="0"/>
    <x v="0"/>
    <x v="35"/>
    <x v="497"/>
    <x v="90"/>
    <x v="499"/>
    <x v="0"/>
  </r>
  <r>
    <x v="376"/>
    <x v="1"/>
    <x v="0"/>
    <x v="1"/>
    <x v="5"/>
    <x v="498"/>
    <x v="0"/>
    <x v="500"/>
    <x v="0"/>
  </r>
  <r>
    <x v="377"/>
    <x v="4"/>
    <x v="0"/>
    <x v="1"/>
    <x v="5"/>
    <x v="496"/>
    <x v="91"/>
    <x v="501"/>
    <x v="0"/>
  </r>
  <r>
    <x v="378"/>
    <x v="5"/>
    <x v="0"/>
    <x v="1"/>
    <x v="5"/>
    <x v="499"/>
    <x v="92"/>
    <x v="502"/>
    <x v="0"/>
  </r>
  <r>
    <x v="155"/>
    <x v="1"/>
    <x v="0"/>
    <x v="1"/>
    <x v="5"/>
    <x v="500"/>
    <x v="0"/>
    <x v="503"/>
    <x v="0"/>
  </r>
  <r>
    <x v="379"/>
    <x v="0"/>
    <x v="0"/>
    <x v="0"/>
    <x v="38"/>
    <x v="501"/>
    <x v="93"/>
    <x v="504"/>
    <x v="0"/>
  </r>
  <r>
    <x v="51"/>
    <x v="5"/>
    <x v="0"/>
    <x v="1"/>
    <x v="5"/>
    <x v="502"/>
    <x v="26"/>
    <x v="505"/>
    <x v="0"/>
  </r>
  <r>
    <x v="380"/>
    <x v="4"/>
    <x v="0"/>
    <x v="1"/>
    <x v="5"/>
    <x v="503"/>
    <x v="0"/>
    <x v="506"/>
    <x v="0"/>
  </r>
  <r>
    <x v="381"/>
    <x v="1"/>
    <x v="0"/>
    <x v="1"/>
    <x v="5"/>
    <x v="504"/>
    <x v="0"/>
    <x v="507"/>
    <x v="0"/>
  </r>
  <r>
    <x v="382"/>
    <x v="5"/>
    <x v="0"/>
    <x v="1"/>
    <x v="5"/>
    <x v="505"/>
    <x v="94"/>
    <x v="508"/>
    <x v="0"/>
  </r>
  <r>
    <x v="383"/>
    <x v="5"/>
    <x v="0"/>
    <x v="1"/>
    <x v="5"/>
    <x v="506"/>
    <x v="0"/>
    <x v="509"/>
    <x v="0"/>
  </r>
  <r>
    <x v="384"/>
    <x v="0"/>
    <x v="0"/>
    <x v="1"/>
    <x v="5"/>
    <x v="507"/>
    <x v="0"/>
    <x v="510"/>
    <x v="0"/>
  </r>
  <r>
    <x v="255"/>
    <x v="5"/>
    <x v="0"/>
    <x v="1"/>
    <x v="5"/>
    <x v="508"/>
    <x v="4"/>
    <x v="511"/>
    <x v="0"/>
  </r>
  <r>
    <x v="385"/>
    <x v="5"/>
    <x v="0"/>
    <x v="1"/>
    <x v="5"/>
    <x v="509"/>
    <x v="0"/>
    <x v="512"/>
    <x v="0"/>
  </r>
  <r>
    <x v="386"/>
    <x v="5"/>
    <x v="0"/>
    <x v="1"/>
    <x v="5"/>
    <x v="510"/>
    <x v="0"/>
    <x v="513"/>
    <x v="0"/>
  </r>
  <r>
    <x v="387"/>
    <x v="5"/>
    <x v="0"/>
    <x v="1"/>
    <x v="5"/>
    <x v="511"/>
    <x v="0"/>
    <x v="514"/>
    <x v="0"/>
  </r>
  <r>
    <x v="388"/>
    <x v="0"/>
    <x v="0"/>
    <x v="1"/>
    <x v="5"/>
    <x v="512"/>
    <x v="0"/>
    <x v="515"/>
    <x v="0"/>
  </r>
  <r>
    <x v="344"/>
    <x v="5"/>
    <x v="0"/>
    <x v="1"/>
    <x v="5"/>
    <x v="513"/>
    <x v="95"/>
    <x v="516"/>
    <x v="0"/>
  </r>
  <r>
    <x v="389"/>
    <x v="1"/>
    <x v="0"/>
    <x v="1"/>
    <x v="5"/>
    <x v="514"/>
    <x v="0"/>
    <x v="517"/>
    <x v="0"/>
  </r>
  <r>
    <x v="390"/>
    <x v="5"/>
    <x v="0"/>
    <x v="1"/>
    <x v="5"/>
    <x v="515"/>
    <x v="0"/>
    <x v="518"/>
    <x v="0"/>
  </r>
  <r>
    <x v="391"/>
    <x v="0"/>
    <x v="0"/>
    <x v="1"/>
    <x v="5"/>
    <x v="516"/>
    <x v="0"/>
    <x v="519"/>
    <x v="0"/>
  </r>
  <r>
    <x v="392"/>
    <x v="5"/>
    <x v="0"/>
    <x v="1"/>
    <x v="5"/>
    <x v="517"/>
    <x v="96"/>
    <x v="520"/>
    <x v="0"/>
  </r>
  <r>
    <x v="393"/>
    <x v="5"/>
    <x v="0"/>
    <x v="1"/>
    <x v="5"/>
    <x v="518"/>
    <x v="0"/>
    <x v="521"/>
    <x v="0"/>
  </r>
  <r>
    <x v="394"/>
    <x v="1"/>
    <x v="0"/>
    <x v="1"/>
    <x v="5"/>
    <x v="519"/>
    <x v="0"/>
    <x v="522"/>
    <x v="0"/>
  </r>
  <r>
    <x v="395"/>
    <x v="1"/>
    <x v="0"/>
    <x v="1"/>
    <x v="5"/>
    <x v="520"/>
    <x v="0"/>
    <x v="523"/>
    <x v="0"/>
  </r>
  <r>
    <x v="151"/>
    <x v="0"/>
    <x v="0"/>
    <x v="1"/>
    <x v="5"/>
    <x v="521"/>
    <x v="0"/>
    <x v="524"/>
    <x v="0"/>
  </r>
  <r>
    <x v="396"/>
    <x v="1"/>
    <x v="0"/>
    <x v="1"/>
    <x v="5"/>
    <x v="522"/>
    <x v="0"/>
    <x v="525"/>
    <x v="0"/>
  </r>
  <r>
    <x v="397"/>
    <x v="4"/>
    <x v="0"/>
    <x v="1"/>
    <x v="5"/>
    <x v="523"/>
    <x v="0"/>
    <x v="526"/>
    <x v="0"/>
  </r>
  <r>
    <x v="398"/>
    <x v="5"/>
    <x v="0"/>
    <x v="1"/>
    <x v="5"/>
    <x v="524"/>
    <x v="0"/>
    <x v="527"/>
    <x v="0"/>
  </r>
  <r>
    <x v="399"/>
    <x v="1"/>
    <x v="0"/>
    <x v="1"/>
    <x v="5"/>
    <x v="525"/>
    <x v="97"/>
    <x v="528"/>
    <x v="0"/>
  </r>
  <r>
    <x v="400"/>
    <x v="0"/>
    <x v="0"/>
    <x v="1"/>
    <x v="5"/>
    <x v="526"/>
    <x v="0"/>
    <x v="529"/>
    <x v="0"/>
  </r>
  <r>
    <x v="401"/>
    <x v="4"/>
    <x v="0"/>
    <x v="1"/>
    <x v="5"/>
    <x v="527"/>
    <x v="98"/>
    <x v="530"/>
    <x v="0"/>
  </r>
  <r>
    <x v="402"/>
    <x v="5"/>
    <x v="0"/>
    <x v="1"/>
    <x v="5"/>
    <x v="528"/>
    <x v="0"/>
    <x v="531"/>
    <x v="0"/>
  </r>
  <r>
    <x v="403"/>
    <x v="1"/>
    <x v="0"/>
    <x v="1"/>
    <x v="5"/>
    <x v="529"/>
    <x v="0"/>
    <x v="532"/>
    <x v="0"/>
  </r>
  <r>
    <x v="404"/>
    <x v="0"/>
    <x v="0"/>
    <x v="1"/>
    <x v="5"/>
    <x v="530"/>
    <x v="0"/>
    <x v="533"/>
    <x v="0"/>
  </r>
  <r>
    <x v="405"/>
    <x v="1"/>
    <x v="0"/>
    <x v="1"/>
    <x v="5"/>
    <x v="531"/>
    <x v="0"/>
    <x v="534"/>
    <x v="0"/>
  </r>
  <r>
    <x v="406"/>
    <x v="5"/>
    <x v="0"/>
    <x v="1"/>
    <x v="5"/>
    <x v="532"/>
    <x v="0"/>
    <x v="535"/>
    <x v="0"/>
  </r>
  <r>
    <x v="202"/>
    <x v="4"/>
    <x v="0"/>
    <x v="1"/>
    <x v="5"/>
    <x v="533"/>
    <x v="99"/>
    <x v="536"/>
    <x v="0"/>
  </r>
  <r>
    <x v="407"/>
    <x v="4"/>
    <x v="0"/>
    <x v="1"/>
    <x v="5"/>
    <x v="534"/>
    <x v="100"/>
    <x v="537"/>
    <x v="0"/>
  </r>
  <r>
    <x v="408"/>
    <x v="4"/>
    <x v="0"/>
    <x v="1"/>
    <x v="5"/>
    <x v="535"/>
    <x v="0"/>
    <x v="538"/>
    <x v="0"/>
  </r>
  <r>
    <x v="206"/>
    <x v="4"/>
    <x v="0"/>
    <x v="1"/>
    <x v="5"/>
    <x v="535"/>
    <x v="0"/>
    <x v="538"/>
    <x v="0"/>
  </r>
  <r>
    <x v="409"/>
    <x v="0"/>
    <x v="0"/>
    <x v="1"/>
    <x v="5"/>
    <x v="536"/>
    <x v="0"/>
    <x v="539"/>
    <x v="0"/>
  </r>
  <r>
    <x v="384"/>
    <x v="1"/>
    <x v="0"/>
    <x v="1"/>
    <x v="5"/>
    <x v="537"/>
    <x v="0"/>
    <x v="540"/>
    <x v="0"/>
  </r>
  <r>
    <x v="410"/>
    <x v="4"/>
    <x v="0"/>
    <x v="1"/>
    <x v="5"/>
    <x v="538"/>
    <x v="101"/>
    <x v="541"/>
    <x v="0"/>
  </r>
  <r>
    <x v="411"/>
    <x v="1"/>
    <x v="0"/>
    <x v="1"/>
    <x v="5"/>
    <x v="539"/>
    <x v="0"/>
    <x v="542"/>
    <x v="0"/>
  </r>
  <r>
    <x v="412"/>
    <x v="1"/>
    <x v="0"/>
    <x v="1"/>
    <x v="5"/>
    <x v="540"/>
    <x v="0"/>
    <x v="543"/>
    <x v="0"/>
  </r>
  <r>
    <x v="413"/>
    <x v="0"/>
    <x v="0"/>
    <x v="1"/>
    <x v="5"/>
    <x v="541"/>
    <x v="0"/>
    <x v="544"/>
    <x v="0"/>
  </r>
  <r>
    <x v="414"/>
    <x v="1"/>
    <x v="0"/>
    <x v="1"/>
    <x v="5"/>
    <x v="542"/>
    <x v="0"/>
    <x v="545"/>
    <x v="0"/>
  </r>
  <r>
    <x v="415"/>
    <x v="1"/>
    <x v="0"/>
    <x v="1"/>
    <x v="5"/>
    <x v="543"/>
    <x v="0"/>
    <x v="546"/>
    <x v="0"/>
  </r>
  <r>
    <x v="416"/>
    <x v="1"/>
    <x v="0"/>
    <x v="1"/>
    <x v="5"/>
    <x v="544"/>
    <x v="0"/>
    <x v="547"/>
    <x v="0"/>
  </r>
  <r>
    <x v="357"/>
    <x v="1"/>
    <x v="0"/>
    <x v="1"/>
    <x v="5"/>
    <x v="545"/>
    <x v="0"/>
    <x v="548"/>
    <x v="0"/>
  </r>
  <r>
    <x v="417"/>
    <x v="1"/>
    <x v="0"/>
    <x v="1"/>
    <x v="5"/>
    <x v="546"/>
    <x v="5"/>
    <x v="549"/>
    <x v="0"/>
  </r>
  <r>
    <x v="312"/>
    <x v="5"/>
    <x v="0"/>
    <x v="1"/>
    <x v="5"/>
    <x v="547"/>
    <x v="0"/>
    <x v="550"/>
    <x v="0"/>
  </r>
  <r>
    <x v="336"/>
    <x v="4"/>
    <x v="0"/>
    <x v="1"/>
    <x v="5"/>
    <x v="548"/>
    <x v="0"/>
    <x v="551"/>
    <x v="0"/>
  </r>
  <r>
    <x v="418"/>
    <x v="4"/>
    <x v="0"/>
    <x v="1"/>
    <x v="5"/>
    <x v="548"/>
    <x v="0"/>
    <x v="551"/>
    <x v="0"/>
  </r>
  <r>
    <x v="419"/>
    <x v="4"/>
    <x v="0"/>
    <x v="1"/>
    <x v="5"/>
    <x v="548"/>
    <x v="0"/>
    <x v="551"/>
    <x v="0"/>
  </r>
  <r>
    <x v="420"/>
    <x v="5"/>
    <x v="0"/>
    <x v="1"/>
    <x v="5"/>
    <x v="549"/>
    <x v="102"/>
    <x v="552"/>
    <x v="0"/>
  </r>
  <r>
    <x v="421"/>
    <x v="4"/>
    <x v="0"/>
    <x v="1"/>
    <x v="5"/>
    <x v="548"/>
    <x v="103"/>
    <x v="553"/>
    <x v="0"/>
  </r>
  <r>
    <x v="422"/>
    <x v="4"/>
    <x v="0"/>
    <x v="1"/>
    <x v="5"/>
    <x v="548"/>
    <x v="104"/>
    <x v="554"/>
    <x v="0"/>
  </r>
  <r>
    <x v="423"/>
    <x v="5"/>
    <x v="0"/>
    <x v="1"/>
    <x v="5"/>
    <x v="550"/>
    <x v="0"/>
    <x v="555"/>
    <x v="0"/>
  </r>
  <r>
    <x v="424"/>
    <x v="5"/>
    <x v="0"/>
    <x v="1"/>
    <x v="5"/>
    <x v="551"/>
    <x v="105"/>
    <x v="556"/>
    <x v="0"/>
  </r>
  <r>
    <x v="425"/>
    <x v="5"/>
    <x v="0"/>
    <x v="1"/>
    <x v="5"/>
    <x v="552"/>
    <x v="106"/>
    <x v="557"/>
    <x v="0"/>
  </r>
  <r>
    <x v="426"/>
    <x v="0"/>
    <x v="0"/>
    <x v="1"/>
    <x v="5"/>
    <x v="553"/>
    <x v="0"/>
    <x v="558"/>
    <x v="0"/>
  </r>
  <r>
    <x v="175"/>
    <x v="0"/>
    <x v="0"/>
    <x v="1"/>
    <x v="5"/>
    <x v="554"/>
    <x v="0"/>
    <x v="559"/>
    <x v="0"/>
  </r>
  <r>
    <x v="427"/>
    <x v="5"/>
    <x v="0"/>
    <x v="1"/>
    <x v="5"/>
    <x v="555"/>
    <x v="0"/>
    <x v="560"/>
    <x v="0"/>
  </r>
  <r>
    <x v="251"/>
    <x v="5"/>
    <x v="0"/>
    <x v="1"/>
    <x v="5"/>
    <x v="556"/>
    <x v="4"/>
    <x v="561"/>
    <x v="0"/>
  </r>
  <r>
    <x v="87"/>
    <x v="2"/>
    <x v="0"/>
    <x v="1"/>
    <x v="5"/>
    <x v="557"/>
    <x v="0"/>
    <x v="562"/>
    <x v="0"/>
  </r>
  <r>
    <x v="428"/>
    <x v="0"/>
    <x v="0"/>
    <x v="1"/>
    <x v="5"/>
    <x v="558"/>
    <x v="0"/>
    <x v="563"/>
    <x v="0"/>
  </r>
  <r>
    <x v="429"/>
    <x v="1"/>
    <x v="0"/>
    <x v="1"/>
    <x v="5"/>
    <x v="559"/>
    <x v="0"/>
    <x v="564"/>
    <x v="0"/>
  </r>
  <r>
    <x v="430"/>
    <x v="5"/>
    <x v="0"/>
    <x v="1"/>
    <x v="5"/>
    <x v="560"/>
    <x v="0"/>
    <x v="565"/>
    <x v="0"/>
  </r>
  <r>
    <x v="268"/>
    <x v="5"/>
    <x v="0"/>
    <x v="1"/>
    <x v="5"/>
    <x v="561"/>
    <x v="4"/>
    <x v="566"/>
    <x v="0"/>
  </r>
  <r>
    <x v="431"/>
    <x v="4"/>
    <x v="0"/>
    <x v="1"/>
    <x v="5"/>
    <x v="562"/>
    <x v="107"/>
    <x v="567"/>
    <x v="0"/>
  </r>
  <r>
    <x v="432"/>
    <x v="1"/>
    <x v="0"/>
    <x v="1"/>
    <x v="5"/>
    <x v="563"/>
    <x v="0"/>
    <x v="568"/>
    <x v="0"/>
  </r>
  <r>
    <x v="433"/>
    <x v="4"/>
    <x v="0"/>
    <x v="0"/>
    <x v="39"/>
    <x v="564"/>
    <x v="108"/>
    <x v="569"/>
    <x v="0"/>
  </r>
  <r>
    <x v="434"/>
    <x v="1"/>
    <x v="0"/>
    <x v="0"/>
    <x v="40"/>
    <x v="565"/>
    <x v="109"/>
    <x v="570"/>
    <x v="0"/>
  </r>
  <r>
    <x v="431"/>
    <x v="5"/>
    <x v="0"/>
    <x v="1"/>
    <x v="5"/>
    <x v="566"/>
    <x v="110"/>
    <x v="571"/>
    <x v="0"/>
  </r>
  <r>
    <x v="90"/>
    <x v="0"/>
    <x v="0"/>
    <x v="1"/>
    <x v="5"/>
    <x v="567"/>
    <x v="0"/>
    <x v="572"/>
    <x v="0"/>
  </r>
  <r>
    <x v="435"/>
    <x v="4"/>
    <x v="0"/>
    <x v="1"/>
    <x v="5"/>
    <x v="568"/>
    <x v="111"/>
    <x v="573"/>
    <x v="0"/>
  </r>
  <r>
    <x v="307"/>
    <x v="4"/>
    <x v="0"/>
    <x v="1"/>
    <x v="5"/>
    <x v="569"/>
    <x v="112"/>
    <x v="574"/>
    <x v="0"/>
  </r>
  <r>
    <x v="436"/>
    <x v="0"/>
    <x v="0"/>
    <x v="1"/>
    <x v="5"/>
    <x v="570"/>
    <x v="0"/>
    <x v="575"/>
    <x v="0"/>
  </r>
  <r>
    <x v="332"/>
    <x v="4"/>
    <x v="0"/>
    <x v="1"/>
    <x v="5"/>
    <x v="571"/>
    <x v="0"/>
    <x v="576"/>
    <x v="0"/>
  </r>
  <r>
    <x v="437"/>
    <x v="4"/>
    <x v="0"/>
    <x v="1"/>
    <x v="5"/>
    <x v="571"/>
    <x v="0"/>
    <x v="576"/>
    <x v="0"/>
  </r>
  <r>
    <x v="438"/>
    <x v="4"/>
    <x v="0"/>
    <x v="1"/>
    <x v="5"/>
    <x v="571"/>
    <x v="0"/>
    <x v="576"/>
    <x v="0"/>
  </r>
  <r>
    <x v="439"/>
    <x v="4"/>
    <x v="0"/>
    <x v="1"/>
    <x v="5"/>
    <x v="571"/>
    <x v="0"/>
    <x v="576"/>
    <x v="0"/>
  </r>
  <r>
    <x v="263"/>
    <x v="4"/>
    <x v="0"/>
    <x v="1"/>
    <x v="5"/>
    <x v="571"/>
    <x v="0"/>
    <x v="576"/>
    <x v="0"/>
  </r>
  <r>
    <x v="440"/>
    <x v="0"/>
    <x v="0"/>
    <x v="1"/>
    <x v="5"/>
    <x v="572"/>
    <x v="0"/>
    <x v="577"/>
    <x v="0"/>
  </r>
  <r>
    <x v="436"/>
    <x v="1"/>
    <x v="0"/>
    <x v="1"/>
    <x v="5"/>
    <x v="573"/>
    <x v="0"/>
    <x v="578"/>
    <x v="0"/>
  </r>
  <r>
    <x v="441"/>
    <x v="1"/>
    <x v="0"/>
    <x v="1"/>
    <x v="5"/>
    <x v="574"/>
    <x v="0"/>
    <x v="579"/>
    <x v="0"/>
  </r>
  <r>
    <x v="442"/>
    <x v="5"/>
    <x v="0"/>
    <x v="1"/>
    <x v="5"/>
    <x v="575"/>
    <x v="0"/>
    <x v="580"/>
    <x v="0"/>
  </r>
  <r>
    <x v="105"/>
    <x v="0"/>
    <x v="0"/>
    <x v="1"/>
    <x v="5"/>
    <x v="576"/>
    <x v="0"/>
    <x v="581"/>
    <x v="0"/>
  </r>
  <r>
    <x v="94"/>
    <x v="4"/>
    <x v="0"/>
    <x v="1"/>
    <x v="5"/>
    <x v="577"/>
    <x v="113"/>
    <x v="582"/>
    <x v="0"/>
  </r>
  <r>
    <x v="443"/>
    <x v="4"/>
    <x v="0"/>
    <x v="1"/>
    <x v="5"/>
    <x v="578"/>
    <x v="0"/>
    <x v="583"/>
    <x v="0"/>
  </r>
  <r>
    <x v="444"/>
    <x v="4"/>
    <x v="0"/>
    <x v="1"/>
    <x v="5"/>
    <x v="579"/>
    <x v="0"/>
    <x v="584"/>
    <x v="0"/>
  </r>
  <r>
    <x v="306"/>
    <x v="4"/>
    <x v="0"/>
    <x v="1"/>
    <x v="5"/>
    <x v="579"/>
    <x v="114"/>
    <x v="585"/>
    <x v="0"/>
  </r>
  <r>
    <x v="445"/>
    <x v="0"/>
    <x v="0"/>
    <x v="1"/>
    <x v="5"/>
    <x v="580"/>
    <x v="0"/>
    <x v="586"/>
    <x v="0"/>
  </r>
  <r>
    <x v="446"/>
    <x v="1"/>
    <x v="0"/>
    <x v="1"/>
    <x v="5"/>
    <x v="581"/>
    <x v="0"/>
    <x v="587"/>
    <x v="0"/>
  </r>
  <r>
    <x v="64"/>
    <x v="4"/>
    <x v="0"/>
    <x v="1"/>
    <x v="5"/>
    <x v="571"/>
    <x v="115"/>
    <x v="588"/>
    <x v="0"/>
  </r>
  <r>
    <x v="3"/>
    <x v="2"/>
    <x v="0"/>
    <x v="0"/>
    <x v="3"/>
    <x v="582"/>
    <x v="0"/>
    <x v="589"/>
    <x v="0"/>
  </r>
  <r>
    <x v="447"/>
    <x v="1"/>
    <x v="0"/>
    <x v="1"/>
    <x v="5"/>
    <x v="583"/>
    <x v="0"/>
    <x v="590"/>
    <x v="0"/>
  </r>
  <r>
    <x v="68"/>
    <x v="4"/>
    <x v="0"/>
    <x v="1"/>
    <x v="5"/>
    <x v="584"/>
    <x v="116"/>
    <x v="591"/>
    <x v="0"/>
  </r>
  <r>
    <x v="448"/>
    <x v="0"/>
    <x v="0"/>
    <x v="0"/>
    <x v="41"/>
    <x v="585"/>
    <x v="117"/>
    <x v="592"/>
    <x v="0"/>
  </r>
  <r>
    <x v="449"/>
    <x v="0"/>
    <x v="0"/>
    <x v="1"/>
    <x v="5"/>
    <x v="586"/>
    <x v="0"/>
    <x v="593"/>
    <x v="0"/>
  </r>
  <r>
    <x v="450"/>
    <x v="5"/>
    <x v="0"/>
    <x v="1"/>
    <x v="5"/>
    <x v="587"/>
    <x v="118"/>
    <x v="594"/>
    <x v="0"/>
  </r>
  <r>
    <x v="283"/>
    <x v="5"/>
    <x v="0"/>
    <x v="1"/>
    <x v="5"/>
    <x v="588"/>
    <x v="119"/>
    <x v="595"/>
    <x v="0"/>
  </r>
  <r>
    <x v="166"/>
    <x v="0"/>
    <x v="0"/>
    <x v="1"/>
    <x v="5"/>
    <x v="589"/>
    <x v="0"/>
    <x v="596"/>
    <x v="0"/>
  </r>
  <r>
    <x v="451"/>
    <x v="0"/>
    <x v="0"/>
    <x v="1"/>
    <x v="5"/>
    <x v="590"/>
    <x v="0"/>
    <x v="597"/>
    <x v="0"/>
  </r>
  <r>
    <x v="452"/>
    <x v="0"/>
    <x v="0"/>
    <x v="1"/>
    <x v="5"/>
    <x v="591"/>
    <x v="0"/>
    <x v="598"/>
    <x v="0"/>
  </r>
  <r>
    <x v="442"/>
    <x v="3"/>
    <x v="0"/>
    <x v="1"/>
    <x v="5"/>
    <x v="592"/>
    <x v="0"/>
    <x v="599"/>
    <x v="0"/>
  </r>
  <r>
    <x v="453"/>
    <x v="0"/>
    <x v="0"/>
    <x v="1"/>
    <x v="5"/>
    <x v="593"/>
    <x v="0"/>
    <x v="600"/>
    <x v="0"/>
  </r>
  <r>
    <x v="94"/>
    <x v="3"/>
    <x v="0"/>
    <x v="1"/>
    <x v="5"/>
    <x v="594"/>
    <x v="120"/>
    <x v="601"/>
    <x v="0"/>
  </r>
  <r>
    <x v="210"/>
    <x v="0"/>
    <x v="0"/>
    <x v="1"/>
    <x v="5"/>
    <x v="595"/>
    <x v="0"/>
    <x v="602"/>
    <x v="0"/>
  </r>
  <r>
    <x v="454"/>
    <x v="0"/>
    <x v="0"/>
    <x v="1"/>
    <x v="5"/>
    <x v="596"/>
    <x v="0"/>
    <x v="603"/>
    <x v="0"/>
  </r>
  <r>
    <x v="455"/>
    <x v="1"/>
    <x v="0"/>
    <x v="1"/>
    <x v="5"/>
    <x v="597"/>
    <x v="0"/>
    <x v="604"/>
    <x v="0"/>
  </r>
  <r>
    <x v="456"/>
    <x v="0"/>
    <x v="0"/>
    <x v="1"/>
    <x v="5"/>
    <x v="598"/>
    <x v="0"/>
    <x v="605"/>
    <x v="0"/>
  </r>
  <r>
    <x v="457"/>
    <x v="5"/>
    <x v="0"/>
    <x v="1"/>
    <x v="5"/>
    <x v="599"/>
    <x v="121"/>
    <x v="606"/>
    <x v="0"/>
  </r>
  <r>
    <x v="458"/>
    <x v="1"/>
    <x v="0"/>
    <x v="1"/>
    <x v="5"/>
    <x v="600"/>
    <x v="0"/>
    <x v="607"/>
    <x v="0"/>
  </r>
  <r>
    <x v="459"/>
    <x v="1"/>
    <x v="0"/>
    <x v="1"/>
    <x v="5"/>
    <x v="601"/>
    <x v="0"/>
    <x v="608"/>
    <x v="0"/>
  </r>
  <r>
    <x v="460"/>
    <x v="1"/>
    <x v="0"/>
    <x v="1"/>
    <x v="5"/>
    <x v="602"/>
    <x v="0"/>
    <x v="609"/>
    <x v="0"/>
  </r>
  <r>
    <x v="461"/>
    <x v="5"/>
    <x v="0"/>
    <x v="1"/>
    <x v="5"/>
    <x v="603"/>
    <x v="0"/>
    <x v="610"/>
    <x v="0"/>
  </r>
  <r>
    <x v="462"/>
    <x v="5"/>
    <x v="0"/>
    <x v="1"/>
    <x v="5"/>
    <x v="603"/>
    <x v="0"/>
    <x v="610"/>
    <x v="0"/>
  </r>
  <r>
    <x v="463"/>
    <x v="5"/>
    <x v="0"/>
    <x v="1"/>
    <x v="5"/>
    <x v="603"/>
    <x v="0"/>
    <x v="610"/>
    <x v="0"/>
  </r>
  <r>
    <x v="464"/>
    <x v="5"/>
    <x v="0"/>
    <x v="1"/>
    <x v="5"/>
    <x v="603"/>
    <x v="0"/>
    <x v="610"/>
    <x v="0"/>
  </r>
  <r>
    <x v="465"/>
    <x v="5"/>
    <x v="0"/>
    <x v="1"/>
    <x v="5"/>
    <x v="603"/>
    <x v="0"/>
    <x v="610"/>
    <x v="0"/>
  </r>
  <r>
    <x v="466"/>
    <x v="5"/>
    <x v="0"/>
    <x v="1"/>
    <x v="5"/>
    <x v="603"/>
    <x v="0"/>
    <x v="610"/>
    <x v="0"/>
  </r>
  <r>
    <x v="467"/>
    <x v="5"/>
    <x v="0"/>
    <x v="1"/>
    <x v="5"/>
    <x v="603"/>
    <x v="0"/>
    <x v="610"/>
    <x v="0"/>
  </r>
  <r>
    <x v="468"/>
    <x v="5"/>
    <x v="0"/>
    <x v="1"/>
    <x v="5"/>
    <x v="603"/>
    <x v="0"/>
    <x v="610"/>
    <x v="0"/>
  </r>
  <r>
    <x v="380"/>
    <x v="5"/>
    <x v="0"/>
    <x v="1"/>
    <x v="5"/>
    <x v="604"/>
    <x v="122"/>
    <x v="611"/>
    <x v="0"/>
  </r>
  <r>
    <x v="328"/>
    <x v="5"/>
    <x v="0"/>
    <x v="1"/>
    <x v="5"/>
    <x v="603"/>
    <x v="123"/>
    <x v="612"/>
    <x v="0"/>
  </r>
  <r>
    <x v="52"/>
    <x v="1"/>
    <x v="0"/>
    <x v="1"/>
    <x v="5"/>
    <x v="605"/>
    <x v="0"/>
    <x v="613"/>
    <x v="0"/>
  </r>
  <r>
    <x v="137"/>
    <x v="0"/>
    <x v="0"/>
    <x v="1"/>
    <x v="5"/>
    <x v="606"/>
    <x v="0"/>
    <x v="614"/>
    <x v="0"/>
  </r>
  <r>
    <x v="469"/>
    <x v="4"/>
    <x v="0"/>
    <x v="1"/>
    <x v="5"/>
    <x v="571"/>
    <x v="124"/>
    <x v="615"/>
    <x v="0"/>
  </r>
  <r>
    <x v="470"/>
    <x v="1"/>
    <x v="0"/>
    <x v="1"/>
    <x v="5"/>
    <x v="607"/>
    <x v="0"/>
    <x v="616"/>
    <x v="0"/>
  </r>
  <r>
    <x v="266"/>
    <x v="0"/>
    <x v="0"/>
    <x v="1"/>
    <x v="5"/>
    <x v="608"/>
    <x v="0"/>
    <x v="617"/>
    <x v="0"/>
  </r>
  <r>
    <x v="118"/>
    <x v="4"/>
    <x v="0"/>
    <x v="1"/>
    <x v="5"/>
    <x v="523"/>
    <x v="125"/>
    <x v="618"/>
    <x v="0"/>
  </r>
  <r>
    <x v="471"/>
    <x v="1"/>
    <x v="0"/>
    <x v="1"/>
    <x v="5"/>
    <x v="609"/>
    <x v="0"/>
    <x v="619"/>
    <x v="0"/>
  </r>
  <r>
    <x v="472"/>
    <x v="5"/>
    <x v="0"/>
    <x v="1"/>
    <x v="5"/>
    <x v="610"/>
    <x v="0"/>
    <x v="620"/>
    <x v="0"/>
  </r>
  <r>
    <x v="72"/>
    <x v="0"/>
    <x v="0"/>
    <x v="1"/>
    <x v="5"/>
    <x v="611"/>
    <x v="0"/>
    <x v="621"/>
    <x v="0"/>
  </r>
  <r>
    <x v="473"/>
    <x v="1"/>
    <x v="0"/>
    <x v="1"/>
    <x v="5"/>
    <x v="612"/>
    <x v="0"/>
    <x v="622"/>
    <x v="0"/>
  </r>
  <r>
    <x v="474"/>
    <x v="1"/>
    <x v="0"/>
    <x v="1"/>
    <x v="5"/>
    <x v="613"/>
    <x v="0"/>
    <x v="623"/>
    <x v="0"/>
  </r>
  <r>
    <x v="475"/>
    <x v="0"/>
    <x v="0"/>
    <x v="1"/>
    <x v="5"/>
    <x v="614"/>
    <x v="0"/>
    <x v="624"/>
    <x v="0"/>
  </r>
  <r>
    <x v="476"/>
    <x v="1"/>
    <x v="0"/>
    <x v="1"/>
    <x v="5"/>
    <x v="615"/>
    <x v="0"/>
    <x v="625"/>
    <x v="0"/>
  </r>
  <r>
    <x v="471"/>
    <x v="0"/>
    <x v="0"/>
    <x v="1"/>
    <x v="5"/>
    <x v="616"/>
    <x v="0"/>
    <x v="626"/>
    <x v="0"/>
  </r>
  <r>
    <x v="477"/>
    <x v="4"/>
    <x v="0"/>
    <x v="1"/>
    <x v="5"/>
    <x v="617"/>
    <x v="0"/>
    <x v="627"/>
    <x v="0"/>
  </r>
  <r>
    <x v="304"/>
    <x v="4"/>
    <x v="0"/>
    <x v="1"/>
    <x v="5"/>
    <x v="617"/>
    <x v="0"/>
    <x v="627"/>
    <x v="0"/>
  </r>
  <r>
    <x v="478"/>
    <x v="4"/>
    <x v="0"/>
    <x v="1"/>
    <x v="5"/>
    <x v="617"/>
    <x v="0"/>
    <x v="627"/>
    <x v="0"/>
  </r>
  <r>
    <x v="479"/>
    <x v="4"/>
    <x v="0"/>
    <x v="1"/>
    <x v="5"/>
    <x v="617"/>
    <x v="0"/>
    <x v="627"/>
    <x v="0"/>
  </r>
  <r>
    <x v="480"/>
    <x v="4"/>
    <x v="0"/>
    <x v="1"/>
    <x v="5"/>
    <x v="617"/>
    <x v="0"/>
    <x v="627"/>
    <x v="0"/>
  </r>
  <r>
    <x v="481"/>
    <x v="4"/>
    <x v="0"/>
    <x v="1"/>
    <x v="5"/>
    <x v="617"/>
    <x v="0"/>
    <x v="627"/>
    <x v="0"/>
  </r>
  <r>
    <x v="482"/>
    <x v="4"/>
    <x v="0"/>
    <x v="1"/>
    <x v="5"/>
    <x v="617"/>
    <x v="0"/>
    <x v="627"/>
    <x v="0"/>
  </r>
  <r>
    <x v="483"/>
    <x v="4"/>
    <x v="0"/>
    <x v="1"/>
    <x v="5"/>
    <x v="617"/>
    <x v="0"/>
    <x v="627"/>
    <x v="0"/>
  </r>
  <r>
    <x v="484"/>
    <x v="4"/>
    <x v="0"/>
    <x v="1"/>
    <x v="5"/>
    <x v="617"/>
    <x v="0"/>
    <x v="627"/>
    <x v="0"/>
  </r>
  <r>
    <x v="485"/>
    <x v="4"/>
    <x v="0"/>
    <x v="1"/>
    <x v="5"/>
    <x v="617"/>
    <x v="0"/>
    <x v="627"/>
    <x v="0"/>
  </r>
  <r>
    <x v="486"/>
    <x v="4"/>
    <x v="0"/>
    <x v="1"/>
    <x v="5"/>
    <x v="617"/>
    <x v="0"/>
    <x v="627"/>
    <x v="0"/>
  </r>
  <r>
    <x v="487"/>
    <x v="4"/>
    <x v="0"/>
    <x v="1"/>
    <x v="5"/>
    <x v="617"/>
    <x v="0"/>
    <x v="627"/>
    <x v="0"/>
  </r>
  <r>
    <x v="488"/>
    <x v="4"/>
    <x v="0"/>
    <x v="1"/>
    <x v="5"/>
    <x v="617"/>
    <x v="0"/>
    <x v="627"/>
    <x v="0"/>
  </r>
  <r>
    <x v="489"/>
    <x v="4"/>
    <x v="0"/>
    <x v="1"/>
    <x v="5"/>
    <x v="617"/>
    <x v="0"/>
    <x v="627"/>
    <x v="0"/>
  </r>
  <r>
    <x v="490"/>
    <x v="4"/>
    <x v="0"/>
    <x v="1"/>
    <x v="5"/>
    <x v="617"/>
    <x v="0"/>
    <x v="627"/>
    <x v="0"/>
  </r>
  <r>
    <x v="491"/>
    <x v="4"/>
    <x v="0"/>
    <x v="1"/>
    <x v="5"/>
    <x v="617"/>
    <x v="0"/>
    <x v="627"/>
    <x v="0"/>
  </r>
  <r>
    <x v="142"/>
    <x v="4"/>
    <x v="0"/>
    <x v="0"/>
    <x v="24"/>
    <x v="617"/>
    <x v="0"/>
    <x v="627"/>
    <x v="0"/>
  </r>
  <r>
    <x v="492"/>
    <x v="4"/>
    <x v="0"/>
    <x v="1"/>
    <x v="5"/>
    <x v="617"/>
    <x v="0"/>
    <x v="627"/>
    <x v="0"/>
  </r>
  <r>
    <x v="493"/>
    <x v="4"/>
    <x v="0"/>
    <x v="1"/>
    <x v="5"/>
    <x v="617"/>
    <x v="0"/>
    <x v="627"/>
    <x v="0"/>
  </r>
  <r>
    <x v="494"/>
    <x v="4"/>
    <x v="0"/>
    <x v="1"/>
    <x v="5"/>
    <x v="617"/>
    <x v="0"/>
    <x v="627"/>
    <x v="0"/>
  </r>
  <r>
    <x v="495"/>
    <x v="4"/>
    <x v="0"/>
    <x v="1"/>
    <x v="5"/>
    <x v="617"/>
    <x v="0"/>
    <x v="627"/>
    <x v="0"/>
  </r>
  <r>
    <x v="496"/>
    <x v="4"/>
    <x v="0"/>
    <x v="1"/>
    <x v="5"/>
    <x v="617"/>
    <x v="0"/>
    <x v="627"/>
    <x v="0"/>
  </r>
  <r>
    <x v="497"/>
    <x v="4"/>
    <x v="0"/>
    <x v="1"/>
    <x v="5"/>
    <x v="617"/>
    <x v="0"/>
    <x v="627"/>
    <x v="0"/>
  </r>
  <r>
    <x v="498"/>
    <x v="4"/>
    <x v="0"/>
    <x v="1"/>
    <x v="5"/>
    <x v="617"/>
    <x v="0"/>
    <x v="627"/>
    <x v="0"/>
  </r>
  <r>
    <x v="499"/>
    <x v="4"/>
    <x v="0"/>
    <x v="1"/>
    <x v="5"/>
    <x v="617"/>
    <x v="0"/>
    <x v="627"/>
    <x v="0"/>
  </r>
  <r>
    <x v="347"/>
    <x v="4"/>
    <x v="0"/>
    <x v="1"/>
    <x v="5"/>
    <x v="617"/>
    <x v="0"/>
    <x v="627"/>
    <x v="0"/>
  </r>
  <r>
    <x v="500"/>
    <x v="4"/>
    <x v="0"/>
    <x v="1"/>
    <x v="5"/>
    <x v="617"/>
    <x v="0"/>
    <x v="627"/>
    <x v="0"/>
  </r>
  <r>
    <x v="330"/>
    <x v="4"/>
    <x v="0"/>
    <x v="1"/>
    <x v="5"/>
    <x v="617"/>
    <x v="0"/>
    <x v="627"/>
    <x v="0"/>
  </r>
  <r>
    <x v="501"/>
    <x v="4"/>
    <x v="0"/>
    <x v="1"/>
    <x v="5"/>
    <x v="617"/>
    <x v="0"/>
    <x v="627"/>
    <x v="0"/>
  </r>
  <r>
    <x v="502"/>
    <x v="4"/>
    <x v="0"/>
    <x v="1"/>
    <x v="5"/>
    <x v="617"/>
    <x v="0"/>
    <x v="627"/>
    <x v="0"/>
  </r>
  <r>
    <x v="503"/>
    <x v="4"/>
    <x v="0"/>
    <x v="1"/>
    <x v="5"/>
    <x v="617"/>
    <x v="0"/>
    <x v="627"/>
    <x v="0"/>
  </r>
  <r>
    <x v="504"/>
    <x v="4"/>
    <x v="0"/>
    <x v="1"/>
    <x v="5"/>
    <x v="617"/>
    <x v="0"/>
    <x v="627"/>
    <x v="0"/>
  </r>
  <r>
    <x v="505"/>
    <x v="4"/>
    <x v="0"/>
    <x v="1"/>
    <x v="5"/>
    <x v="617"/>
    <x v="0"/>
    <x v="627"/>
    <x v="0"/>
  </r>
  <r>
    <x v="506"/>
    <x v="4"/>
    <x v="0"/>
    <x v="1"/>
    <x v="5"/>
    <x v="617"/>
    <x v="0"/>
    <x v="627"/>
    <x v="0"/>
  </r>
  <r>
    <x v="507"/>
    <x v="4"/>
    <x v="0"/>
    <x v="1"/>
    <x v="5"/>
    <x v="617"/>
    <x v="0"/>
    <x v="627"/>
    <x v="0"/>
  </r>
  <r>
    <x v="508"/>
    <x v="4"/>
    <x v="0"/>
    <x v="1"/>
    <x v="5"/>
    <x v="617"/>
    <x v="0"/>
    <x v="627"/>
    <x v="0"/>
  </r>
  <r>
    <x v="509"/>
    <x v="4"/>
    <x v="0"/>
    <x v="1"/>
    <x v="5"/>
    <x v="617"/>
    <x v="0"/>
    <x v="627"/>
    <x v="0"/>
  </r>
  <r>
    <x v="510"/>
    <x v="4"/>
    <x v="0"/>
    <x v="1"/>
    <x v="5"/>
    <x v="617"/>
    <x v="0"/>
    <x v="627"/>
    <x v="0"/>
  </r>
  <r>
    <x v="511"/>
    <x v="4"/>
    <x v="0"/>
    <x v="1"/>
    <x v="5"/>
    <x v="617"/>
    <x v="0"/>
    <x v="627"/>
    <x v="0"/>
  </r>
  <r>
    <x v="512"/>
    <x v="4"/>
    <x v="0"/>
    <x v="1"/>
    <x v="5"/>
    <x v="617"/>
    <x v="0"/>
    <x v="627"/>
    <x v="0"/>
  </r>
  <r>
    <x v="513"/>
    <x v="4"/>
    <x v="0"/>
    <x v="1"/>
    <x v="5"/>
    <x v="617"/>
    <x v="0"/>
    <x v="627"/>
    <x v="0"/>
  </r>
  <r>
    <x v="514"/>
    <x v="4"/>
    <x v="0"/>
    <x v="1"/>
    <x v="5"/>
    <x v="617"/>
    <x v="0"/>
    <x v="627"/>
    <x v="0"/>
  </r>
  <r>
    <x v="515"/>
    <x v="4"/>
    <x v="0"/>
    <x v="1"/>
    <x v="5"/>
    <x v="617"/>
    <x v="0"/>
    <x v="627"/>
    <x v="0"/>
  </r>
  <r>
    <x v="275"/>
    <x v="4"/>
    <x v="0"/>
    <x v="1"/>
    <x v="5"/>
    <x v="617"/>
    <x v="0"/>
    <x v="627"/>
    <x v="0"/>
  </r>
  <r>
    <x v="516"/>
    <x v="4"/>
    <x v="0"/>
    <x v="1"/>
    <x v="5"/>
    <x v="617"/>
    <x v="0"/>
    <x v="627"/>
    <x v="0"/>
  </r>
  <r>
    <x v="517"/>
    <x v="4"/>
    <x v="0"/>
    <x v="1"/>
    <x v="5"/>
    <x v="617"/>
    <x v="0"/>
    <x v="627"/>
    <x v="0"/>
  </r>
  <r>
    <x v="518"/>
    <x v="4"/>
    <x v="0"/>
    <x v="1"/>
    <x v="5"/>
    <x v="617"/>
    <x v="0"/>
    <x v="627"/>
    <x v="0"/>
  </r>
  <r>
    <x v="301"/>
    <x v="4"/>
    <x v="0"/>
    <x v="1"/>
    <x v="5"/>
    <x v="617"/>
    <x v="0"/>
    <x v="627"/>
    <x v="0"/>
  </r>
  <r>
    <x v="252"/>
    <x v="4"/>
    <x v="0"/>
    <x v="1"/>
    <x v="5"/>
    <x v="617"/>
    <x v="0"/>
    <x v="627"/>
    <x v="0"/>
  </r>
  <r>
    <x v="519"/>
    <x v="4"/>
    <x v="0"/>
    <x v="1"/>
    <x v="5"/>
    <x v="617"/>
    <x v="0"/>
    <x v="627"/>
    <x v="0"/>
  </r>
  <r>
    <x v="385"/>
    <x v="4"/>
    <x v="0"/>
    <x v="1"/>
    <x v="5"/>
    <x v="617"/>
    <x v="0"/>
    <x v="627"/>
    <x v="0"/>
  </r>
  <r>
    <x v="520"/>
    <x v="4"/>
    <x v="0"/>
    <x v="1"/>
    <x v="5"/>
    <x v="617"/>
    <x v="0"/>
    <x v="627"/>
    <x v="0"/>
  </r>
  <r>
    <x v="442"/>
    <x v="4"/>
    <x v="0"/>
    <x v="1"/>
    <x v="5"/>
    <x v="617"/>
    <x v="0"/>
    <x v="627"/>
    <x v="0"/>
  </r>
  <r>
    <x v="521"/>
    <x v="4"/>
    <x v="0"/>
    <x v="1"/>
    <x v="5"/>
    <x v="617"/>
    <x v="0"/>
    <x v="627"/>
    <x v="0"/>
  </r>
  <r>
    <x v="522"/>
    <x v="4"/>
    <x v="0"/>
    <x v="1"/>
    <x v="5"/>
    <x v="617"/>
    <x v="0"/>
    <x v="627"/>
    <x v="0"/>
  </r>
  <r>
    <x v="523"/>
    <x v="4"/>
    <x v="0"/>
    <x v="1"/>
    <x v="5"/>
    <x v="617"/>
    <x v="0"/>
    <x v="627"/>
    <x v="0"/>
  </r>
  <r>
    <x v="524"/>
    <x v="4"/>
    <x v="0"/>
    <x v="1"/>
    <x v="5"/>
    <x v="617"/>
    <x v="0"/>
    <x v="627"/>
    <x v="0"/>
  </r>
  <r>
    <x v="525"/>
    <x v="4"/>
    <x v="0"/>
    <x v="1"/>
    <x v="5"/>
    <x v="617"/>
    <x v="0"/>
    <x v="627"/>
    <x v="0"/>
  </r>
  <r>
    <x v="526"/>
    <x v="4"/>
    <x v="0"/>
    <x v="1"/>
    <x v="5"/>
    <x v="617"/>
    <x v="0"/>
    <x v="627"/>
    <x v="0"/>
  </r>
  <r>
    <x v="527"/>
    <x v="4"/>
    <x v="0"/>
    <x v="1"/>
    <x v="5"/>
    <x v="617"/>
    <x v="0"/>
    <x v="627"/>
    <x v="0"/>
  </r>
  <r>
    <x v="528"/>
    <x v="4"/>
    <x v="0"/>
    <x v="1"/>
    <x v="5"/>
    <x v="617"/>
    <x v="0"/>
    <x v="627"/>
    <x v="0"/>
  </r>
  <r>
    <x v="529"/>
    <x v="4"/>
    <x v="0"/>
    <x v="1"/>
    <x v="5"/>
    <x v="617"/>
    <x v="0"/>
    <x v="627"/>
    <x v="0"/>
  </r>
  <r>
    <x v="530"/>
    <x v="4"/>
    <x v="0"/>
    <x v="1"/>
    <x v="5"/>
    <x v="617"/>
    <x v="0"/>
    <x v="627"/>
    <x v="0"/>
  </r>
  <r>
    <x v="531"/>
    <x v="4"/>
    <x v="0"/>
    <x v="1"/>
    <x v="5"/>
    <x v="617"/>
    <x v="0"/>
    <x v="627"/>
    <x v="0"/>
  </r>
  <r>
    <x v="532"/>
    <x v="4"/>
    <x v="0"/>
    <x v="1"/>
    <x v="5"/>
    <x v="617"/>
    <x v="0"/>
    <x v="627"/>
    <x v="0"/>
  </r>
  <r>
    <x v="533"/>
    <x v="4"/>
    <x v="0"/>
    <x v="1"/>
    <x v="5"/>
    <x v="617"/>
    <x v="0"/>
    <x v="627"/>
    <x v="0"/>
  </r>
  <r>
    <x v="534"/>
    <x v="4"/>
    <x v="0"/>
    <x v="1"/>
    <x v="5"/>
    <x v="617"/>
    <x v="0"/>
    <x v="627"/>
    <x v="0"/>
  </r>
  <r>
    <x v="467"/>
    <x v="4"/>
    <x v="0"/>
    <x v="1"/>
    <x v="5"/>
    <x v="617"/>
    <x v="0"/>
    <x v="627"/>
    <x v="0"/>
  </r>
  <r>
    <x v="535"/>
    <x v="4"/>
    <x v="0"/>
    <x v="1"/>
    <x v="5"/>
    <x v="617"/>
    <x v="0"/>
    <x v="627"/>
    <x v="0"/>
  </r>
  <r>
    <x v="536"/>
    <x v="4"/>
    <x v="0"/>
    <x v="1"/>
    <x v="5"/>
    <x v="617"/>
    <x v="0"/>
    <x v="627"/>
    <x v="0"/>
  </r>
  <r>
    <x v="537"/>
    <x v="4"/>
    <x v="0"/>
    <x v="1"/>
    <x v="5"/>
    <x v="617"/>
    <x v="0"/>
    <x v="627"/>
    <x v="0"/>
  </r>
  <r>
    <x v="538"/>
    <x v="4"/>
    <x v="0"/>
    <x v="1"/>
    <x v="5"/>
    <x v="617"/>
    <x v="0"/>
    <x v="627"/>
    <x v="0"/>
  </r>
  <r>
    <x v="539"/>
    <x v="4"/>
    <x v="0"/>
    <x v="1"/>
    <x v="5"/>
    <x v="617"/>
    <x v="0"/>
    <x v="627"/>
    <x v="0"/>
  </r>
  <r>
    <x v="540"/>
    <x v="4"/>
    <x v="0"/>
    <x v="1"/>
    <x v="5"/>
    <x v="617"/>
    <x v="0"/>
    <x v="627"/>
    <x v="0"/>
  </r>
  <r>
    <x v="541"/>
    <x v="4"/>
    <x v="0"/>
    <x v="1"/>
    <x v="5"/>
    <x v="617"/>
    <x v="0"/>
    <x v="627"/>
    <x v="0"/>
  </r>
  <r>
    <x v="542"/>
    <x v="4"/>
    <x v="0"/>
    <x v="1"/>
    <x v="5"/>
    <x v="617"/>
    <x v="0"/>
    <x v="627"/>
    <x v="0"/>
  </r>
  <r>
    <x v="543"/>
    <x v="4"/>
    <x v="0"/>
    <x v="1"/>
    <x v="5"/>
    <x v="617"/>
    <x v="0"/>
    <x v="627"/>
    <x v="0"/>
  </r>
  <r>
    <x v="544"/>
    <x v="4"/>
    <x v="0"/>
    <x v="1"/>
    <x v="5"/>
    <x v="617"/>
    <x v="0"/>
    <x v="627"/>
    <x v="0"/>
  </r>
  <r>
    <x v="545"/>
    <x v="4"/>
    <x v="0"/>
    <x v="1"/>
    <x v="5"/>
    <x v="617"/>
    <x v="0"/>
    <x v="627"/>
    <x v="0"/>
  </r>
  <r>
    <x v="303"/>
    <x v="4"/>
    <x v="0"/>
    <x v="1"/>
    <x v="5"/>
    <x v="617"/>
    <x v="0"/>
    <x v="627"/>
    <x v="0"/>
  </r>
  <r>
    <x v="546"/>
    <x v="4"/>
    <x v="0"/>
    <x v="1"/>
    <x v="5"/>
    <x v="617"/>
    <x v="0"/>
    <x v="627"/>
    <x v="0"/>
  </r>
  <r>
    <x v="547"/>
    <x v="4"/>
    <x v="0"/>
    <x v="1"/>
    <x v="5"/>
    <x v="617"/>
    <x v="0"/>
    <x v="627"/>
    <x v="0"/>
  </r>
  <r>
    <x v="548"/>
    <x v="4"/>
    <x v="0"/>
    <x v="1"/>
    <x v="5"/>
    <x v="617"/>
    <x v="0"/>
    <x v="627"/>
    <x v="0"/>
  </r>
  <r>
    <x v="549"/>
    <x v="4"/>
    <x v="0"/>
    <x v="1"/>
    <x v="5"/>
    <x v="617"/>
    <x v="0"/>
    <x v="627"/>
    <x v="0"/>
  </r>
  <r>
    <x v="550"/>
    <x v="4"/>
    <x v="0"/>
    <x v="1"/>
    <x v="5"/>
    <x v="617"/>
    <x v="0"/>
    <x v="627"/>
    <x v="0"/>
  </r>
  <r>
    <x v="551"/>
    <x v="4"/>
    <x v="0"/>
    <x v="1"/>
    <x v="5"/>
    <x v="617"/>
    <x v="0"/>
    <x v="627"/>
    <x v="0"/>
  </r>
  <r>
    <x v="552"/>
    <x v="4"/>
    <x v="0"/>
    <x v="1"/>
    <x v="5"/>
    <x v="617"/>
    <x v="0"/>
    <x v="627"/>
    <x v="0"/>
  </r>
  <r>
    <x v="553"/>
    <x v="4"/>
    <x v="0"/>
    <x v="1"/>
    <x v="5"/>
    <x v="617"/>
    <x v="0"/>
    <x v="627"/>
    <x v="0"/>
  </r>
  <r>
    <x v="554"/>
    <x v="4"/>
    <x v="0"/>
    <x v="1"/>
    <x v="5"/>
    <x v="617"/>
    <x v="0"/>
    <x v="627"/>
    <x v="0"/>
  </r>
  <r>
    <x v="555"/>
    <x v="4"/>
    <x v="0"/>
    <x v="1"/>
    <x v="5"/>
    <x v="617"/>
    <x v="0"/>
    <x v="627"/>
    <x v="0"/>
  </r>
  <r>
    <x v="556"/>
    <x v="4"/>
    <x v="0"/>
    <x v="1"/>
    <x v="5"/>
    <x v="617"/>
    <x v="0"/>
    <x v="627"/>
    <x v="0"/>
  </r>
  <r>
    <x v="557"/>
    <x v="0"/>
    <x v="0"/>
    <x v="1"/>
    <x v="5"/>
    <x v="618"/>
    <x v="0"/>
    <x v="628"/>
    <x v="0"/>
  </r>
  <r>
    <x v="558"/>
    <x v="4"/>
    <x v="0"/>
    <x v="1"/>
    <x v="5"/>
    <x v="617"/>
    <x v="126"/>
    <x v="629"/>
    <x v="0"/>
  </r>
  <r>
    <x v="559"/>
    <x v="1"/>
    <x v="0"/>
    <x v="1"/>
    <x v="5"/>
    <x v="619"/>
    <x v="5"/>
    <x v="630"/>
    <x v="0"/>
  </r>
  <r>
    <x v="100"/>
    <x v="0"/>
    <x v="0"/>
    <x v="1"/>
    <x v="5"/>
    <x v="620"/>
    <x v="0"/>
    <x v="631"/>
    <x v="0"/>
  </r>
  <r>
    <x v="457"/>
    <x v="4"/>
    <x v="0"/>
    <x v="1"/>
    <x v="5"/>
    <x v="617"/>
    <x v="127"/>
    <x v="632"/>
    <x v="0"/>
  </r>
  <r>
    <x v="560"/>
    <x v="4"/>
    <x v="0"/>
    <x v="1"/>
    <x v="5"/>
    <x v="617"/>
    <x v="128"/>
    <x v="633"/>
    <x v="0"/>
  </r>
  <r>
    <x v="561"/>
    <x v="4"/>
    <x v="0"/>
    <x v="1"/>
    <x v="5"/>
    <x v="617"/>
    <x v="129"/>
    <x v="634"/>
    <x v="0"/>
  </r>
  <r>
    <x v="264"/>
    <x v="4"/>
    <x v="0"/>
    <x v="1"/>
    <x v="5"/>
    <x v="617"/>
    <x v="130"/>
    <x v="635"/>
    <x v="0"/>
  </r>
  <r>
    <x v="562"/>
    <x v="4"/>
    <x v="0"/>
    <x v="1"/>
    <x v="5"/>
    <x v="617"/>
    <x v="130"/>
    <x v="635"/>
    <x v="0"/>
  </r>
  <r>
    <x v="563"/>
    <x v="4"/>
    <x v="0"/>
    <x v="1"/>
    <x v="5"/>
    <x v="617"/>
    <x v="131"/>
    <x v="636"/>
    <x v="0"/>
  </r>
  <r>
    <x v="564"/>
    <x v="0"/>
    <x v="0"/>
    <x v="1"/>
    <x v="5"/>
    <x v="621"/>
    <x v="0"/>
    <x v="637"/>
    <x v="0"/>
  </r>
  <r>
    <x v="565"/>
    <x v="1"/>
    <x v="0"/>
    <x v="1"/>
    <x v="5"/>
    <x v="622"/>
    <x v="0"/>
    <x v="638"/>
    <x v="0"/>
  </r>
  <r>
    <x v="318"/>
    <x v="0"/>
    <x v="0"/>
    <x v="1"/>
    <x v="5"/>
    <x v="623"/>
    <x v="0"/>
    <x v="639"/>
    <x v="0"/>
  </r>
  <r>
    <x v="566"/>
    <x v="1"/>
    <x v="0"/>
    <x v="1"/>
    <x v="5"/>
    <x v="624"/>
    <x v="0"/>
    <x v="640"/>
    <x v="0"/>
  </r>
  <r>
    <x v="567"/>
    <x v="1"/>
    <x v="0"/>
    <x v="1"/>
    <x v="5"/>
    <x v="625"/>
    <x v="5"/>
    <x v="641"/>
    <x v="0"/>
  </r>
  <r>
    <x v="568"/>
    <x v="0"/>
    <x v="0"/>
    <x v="1"/>
    <x v="5"/>
    <x v="626"/>
    <x v="0"/>
    <x v="642"/>
    <x v="0"/>
  </r>
  <r>
    <x v="569"/>
    <x v="0"/>
    <x v="0"/>
    <x v="1"/>
    <x v="5"/>
    <x v="627"/>
    <x v="0"/>
    <x v="643"/>
    <x v="0"/>
  </r>
  <r>
    <x v="570"/>
    <x v="0"/>
    <x v="0"/>
    <x v="1"/>
    <x v="5"/>
    <x v="627"/>
    <x v="0"/>
    <x v="643"/>
    <x v="0"/>
  </r>
  <r>
    <x v="571"/>
    <x v="0"/>
    <x v="0"/>
    <x v="1"/>
    <x v="5"/>
    <x v="628"/>
    <x v="0"/>
    <x v="644"/>
    <x v="0"/>
  </r>
  <r>
    <x v="572"/>
    <x v="0"/>
    <x v="0"/>
    <x v="1"/>
    <x v="5"/>
    <x v="629"/>
    <x v="0"/>
    <x v="645"/>
    <x v="0"/>
  </r>
  <r>
    <x v="363"/>
    <x v="1"/>
    <x v="0"/>
    <x v="1"/>
    <x v="5"/>
    <x v="630"/>
    <x v="0"/>
    <x v="646"/>
    <x v="0"/>
  </r>
  <r>
    <x v="573"/>
    <x v="1"/>
    <x v="0"/>
    <x v="1"/>
    <x v="5"/>
    <x v="631"/>
    <x v="0"/>
    <x v="647"/>
    <x v="0"/>
  </r>
  <r>
    <x v="274"/>
    <x v="4"/>
    <x v="0"/>
    <x v="1"/>
    <x v="5"/>
    <x v="632"/>
    <x v="0"/>
    <x v="648"/>
    <x v="0"/>
  </r>
  <r>
    <x v="574"/>
    <x v="1"/>
    <x v="0"/>
    <x v="1"/>
    <x v="5"/>
    <x v="633"/>
    <x v="132"/>
    <x v="649"/>
    <x v="0"/>
  </r>
  <r>
    <x v="575"/>
    <x v="0"/>
    <x v="0"/>
    <x v="1"/>
    <x v="5"/>
    <x v="634"/>
    <x v="0"/>
    <x v="650"/>
    <x v="0"/>
  </r>
  <r>
    <x v="576"/>
    <x v="0"/>
    <x v="0"/>
    <x v="1"/>
    <x v="5"/>
    <x v="635"/>
    <x v="0"/>
    <x v="651"/>
    <x v="0"/>
  </r>
  <r>
    <x v="577"/>
    <x v="0"/>
    <x v="0"/>
    <x v="1"/>
    <x v="5"/>
    <x v="636"/>
    <x v="0"/>
    <x v="652"/>
    <x v="0"/>
  </r>
  <r>
    <x v="207"/>
    <x v="1"/>
    <x v="0"/>
    <x v="1"/>
    <x v="5"/>
    <x v="637"/>
    <x v="0"/>
    <x v="653"/>
    <x v="0"/>
  </r>
  <r>
    <x v="403"/>
    <x v="0"/>
    <x v="0"/>
    <x v="1"/>
    <x v="5"/>
    <x v="638"/>
    <x v="0"/>
    <x v="654"/>
    <x v="0"/>
  </r>
  <r>
    <x v="578"/>
    <x v="0"/>
    <x v="0"/>
    <x v="1"/>
    <x v="5"/>
    <x v="639"/>
    <x v="0"/>
    <x v="655"/>
    <x v="0"/>
  </r>
  <r>
    <x v="579"/>
    <x v="0"/>
    <x v="0"/>
    <x v="1"/>
    <x v="5"/>
    <x v="640"/>
    <x v="0"/>
    <x v="656"/>
    <x v="0"/>
  </r>
  <r>
    <x v="580"/>
    <x v="0"/>
    <x v="0"/>
    <x v="1"/>
    <x v="5"/>
    <x v="641"/>
    <x v="0"/>
    <x v="657"/>
    <x v="0"/>
  </r>
  <r>
    <x v="581"/>
    <x v="1"/>
    <x v="0"/>
    <x v="1"/>
    <x v="5"/>
    <x v="642"/>
    <x v="0"/>
    <x v="658"/>
    <x v="0"/>
  </r>
  <r>
    <x v="582"/>
    <x v="0"/>
    <x v="0"/>
    <x v="1"/>
    <x v="5"/>
    <x v="642"/>
    <x v="0"/>
    <x v="658"/>
    <x v="0"/>
  </r>
  <r>
    <x v="583"/>
    <x v="1"/>
    <x v="0"/>
    <x v="1"/>
    <x v="5"/>
    <x v="643"/>
    <x v="0"/>
    <x v="659"/>
    <x v="0"/>
  </r>
  <r>
    <x v="394"/>
    <x v="5"/>
    <x v="0"/>
    <x v="1"/>
    <x v="5"/>
    <x v="644"/>
    <x v="4"/>
    <x v="660"/>
    <x v="0"/>
  </r>
  <r>
    <x v="145"/>
    <x v="1"/>
    <x v="0"/>
    <x v="1"/>
    <x v="5"/>
    <x v="645"/>
    <x v="0"/>
    <x v="661"/>
    <x v="0"/>
  </r>
  <r>
    <x v="584"/>
    <x v="0"/>
    <x v="0"/>
    <x v="1"/>
    <x v="5"/>
    <x v="646"/>
    <x v="0"/>
    <x v="662"/>
    <x v="0"/>
  </r>
  <r>
    <x v="585"/>
    <x v="1"/>
    <x v="0"/>
    <x v="1"/>
    <x v="5"/>
    <x v="647"/>
    <x v="0"/>
    <x v="663"/>
    <x v="0"/>
  </r>
  <r>
    <x v="586"/>
    <x v="0"/>
    <x v="0"/>
    <x v="1"/>
    <x v="5"/>
    <x v="648"/>
    <x v="0"/>
    <x v="664"/>
    <x v="0"/>
  </r>
  <r>
    <x v="587"/>
    <x v="0"/>
    <x v="0"/>
    <x v="1"/>
    <x v="5"/>
    <x v="649"/>
    <x v="0"/>
    <x v="665"/>
    <x v="0"/>
  </r>
  <r>
    <x v="15"/>
    <x v="5"/>
    <x v="0"/>
    <x v="1"/>
    <x v="5"/>
    <x v="650"/>
    <x v="0"/>
    <x v="666"/>
    <x v="0"/>
  </r>
  <r>
    <x v="588"/>
    <x v="0"/>
    <x v="0"/>
    <x v="1"/>
    <x v="5"/>
    <x v="651"/>
    <x v="0"/>
    <x v="667"/>
    <x v="0"/>
  </r>
  <r>
    <x v="589"/>
    <x v="3"/>
    <x v="0"/>
    <x v="1"/>
    <x v="5"/>
    <x v="652"/>
    <x v="0"/>
    <x v="668"/>
    <x v="0"/>
  </r>
  <r>
    <x v="501"/>
    <x v="3"/>
    <x v="0"/>
    <x v="1"/>
    <x v="5"/>
    <x v="652"/>
    <x v="0"/>
    <x v="668"/>
    <x v="0"/>
  </r>
  <r>
    <x v="527"/>
    <x v="3"/>
    <x v="0"/>
    <x v="1"/>
    <x v="5"/>
    <x v="652"/>
    <x v="0"/>
    <x v="668"/>
    <x v="0"/>
  </r>
  <r>
    <x v="509"/>
    <x v="3"/>
    <x v="0"/>
    <x v="1"/>
    <x v="5"/>
    <x v="652"/>
    <x v="0"/>
    <x v="668"/>
    <x v="0"/>
  </r>
  <r>
    <x v="590"/>
    <x v="3"/>
    <x v="0"/>
    <x v="1"/>
    <x v="5"/>
    <x v="652"/>
    <x v="0"/>
    <x v="668"/>
    <x v="0"/>
  </r>
  <r>
    <x v="263"/>
    <x v="3"/>
    <x v="0"/>
    <x v="1"/>
    <x v="5"/>
    <x v="652"/>
    <x v="0"/>
    <x v="668"/>
    <x v="0"/>
  </r>
  <r>
    <x v="591"/>
    <x v="3"/>
    <x v="0"/>
    <x v="1"/>
    <x v="5"/>
    <x v="652"/>
    <x v="0"/>
    <x v="668"/>
    <x v="0"/>
  </r>
  <r>
    <x v="592"/>
    <x v="4"/>
    <x v="0"/>
    <x v="1"/>
    <x v="5"/>
    <x v="653"/>
    <x v="133"/>
    <x v="669"/>
    <x v="0"/>
  </r>
  <r>
    <x v="457"/>
    <x v="3"/>
    <x v="0"/>
    <x v="1"/>
    <x v="5"/>
    <x v="652"/>
    <x v="134"/>
    <x v="670"/>
    <x v="0"/>
  </r>
  <r>
    <x v="593"/>
    <x v="1"/>
    <x v="0"/>
    <x v="1"/>
    <x v="5"/>
    <x v="654"/>
    <x v="0"/>
    <x v="671"/>
    <x v="0"/>
  </r>
  <r>
    <x v="594"/>
    <x v="3"/>
    <x v="0"/>
    <x v="1"/>
    <x v="5"/>
    <x v="652"/>
    <x v="135"/>
    <x v="672"/>
    <x v="0"/>
  </r>
  <r>
    <x v="595"/>
    <x v="1"/>
    <x v="0"/>
    <x v="1"/>
    <x v="5"/>
    <x v="655"/>
    <x v="0"/>
    <x v="673"/>
    <x v="0"/>
  </r>
  <r>
    <x v="596"/>
    <x v="5"/>
    <x v="0"/>
    <x v="1"/>
    <x v="5"/>
    <x v="656"/>
    <x v="136"/>
    <x v="674"/>
    <x v="0"/>
  </r>
  <r>
    <x v="597"/>
    <x v="1"/>
    <x v="0"/>
    <x v="1"/>
    <x v="5"/>
    <x v="657"/>
    <x v="0"/>
    <x v="675"/>
    <x v="0"/>
  </r>
  <r>
    <x v="205"/>
    <x v="4"/>
    <x v="0"/>
    <x v="1"/>
    <x v="5"/>
    <x v="658"/>
    <x v="0"/>
    <x v="676"/>
    <x v="0"/>
  </r>
  <r>
    <x v="598"/>
    <x v="0"/>
    <x v="0"/>
    <x v="1"/>
    <x v="5"/>
    <x v="659"/>
    <x v="0"/>
    <x v="677"/>
    <x v="0"/>
  </r>
  <r>
    <x v="599"/>
    <x v="0"/>
    <x v="0"/>
    <x v="1"/>
    <x v="5"/>
    <x v="660"/>
    <x v="0"/>
    <x v="678"/>
    <x v="0"/>
  </r>
  <r>
    <x v="476"/>
    <x v="0"/>
    <x v="0"/>
    <x v="1"/>
    <x v="5"/>
    <x v="661"/>
    <x v="0"/>
    <x v="679"/>
    <x v="0"/>
  </r>
  <r>
    <x v="407"/>
    <x v="5"/>
    <x v="0"/>
    <x v="1"/>
    <x v="5"/>
    <x v="603"/>
    <x v="137"/>
    <x v="680"/>
    <x v="0"/>
  </r>
  <r>
    <x v="411"/>
    <x v="4"/>
    <x v="0"/>
    <x v="1"/>
    <x v="5"/>
    <x v="662"/>
    <x v="138"/>
    <x v="681"/>
    <x v="0"/>
  </r>
  <r>
    <x v="600"/>
    <x v="1"/>
    <x v="0"/>
    <x v="1"/>
    <x v="5"/>
    <x v="663"/>
    <x v="0"/>
    <x v="682"/>
    <x v="0"/>
  </r>
  <r>
    <x v="601"/>
    <x v="1"/>
    <x v="0"/>
    <x v="1"/>
    <x v="5"/>
    <x v="664"/>
    <x v="0"/>
    <x v="683"/>
    <x v="0"/>
  </r>
  <r>
    <x v="602"/>
    <x v="0"/>
    <x v="0"/>
    <x v="1"/>
    <x v="5"/>
    <x v="665"/>
    <x v="0"/>
    <x v="684"/>
    <x v="0"/>
  </r>
  <r>
    <x v="276"/>
    <x v="1"/>
    <x v="0"/>
    <x v="1"/>
    <x v="5"/>
    <x v="666"/>
    <x v="0"/>
    <x v="685"/>
    <x v="0"/>
  </r>
  <r>
    <x v="603"/>
    <x v="1"/>
    <x v="0"/>
    <x v="1"/>
    <x v="5"/>
    <x v="667"/>
    <x v="0"/>
    <x v="686"/>
    <x v="0"/>
  </r>
  <r>
    <x v="604"/>
    <x v="1"/>
    <x v="0"/>
    <x v="1"/>
    <x v="5"/>
    <x v="668"/>
    <x v="0"/>
    <x v="687"/>
    <x v="0"/>
  </r>
  <r>
    <x v="605"/>
    <x v="0"/>
    <x v="0"/>
    <x v="1"/>
    <x v="5"/>
    <x v="669"/>
    <x v="0"/>
    <x v="688"/>
    <x v="0"/>
  </r>
  <r>
    <x v="606"/>
    <x v="1"/>
    <x v="0"/>
    <x v="1"/>
    <x v="5"/>
    <x v="670"/>
    <x v="0"/>
    <x v="689"/>
    <x v="0"/>
  </r>
  <r>
    <x v="607"/>
    <x v="1"/>
    <x v="0"/>
    <x v="1"/>
    <x v="5"/>
    <x v="671"/>
    <x v="5"/>
    <x v="690"/>
    <x v="0"/>
  </r>
  <r>
    <x v="605"/>
    <x v="1"/>
    <x v="0"/>
    <x v="1"/>
    <x v="5"/>
    <x v="672"/>
    <x v="0"/>
    <x v="691"/>
    <x v="0"/>
  </r>
  <r>
    <x v="608"/>
    <x v="1"/>
    <x v="0"/>
    <x v="1"/>
    <x v="5"/>
    <x v="673"/>
    <x v="0"/>
    <x v="692"/>
    <x v="0"/>
  </r>
  <r>
    <x v="376"/>
    <x v="0"/>
    <x v="0"/>
    <x v="1"/>
    <x v="5"/>
    <x v="674"/>
    <x v="0"/>
    <x v="693"/>
    <x v="0"/>
  </r>
  <r>
    <x v="609"/>
    <x v="4"/>
    <x v="0"/>
    <x v="1"/>
    <x v="5"/>
    <x v="617"/>
    <x v="139"/>
    <x v="694"/>
    <x v="0"/>
  </r>
  <r>
    <x v="366"/>
    <x v="0"/>
    <x v="0"/>
    <x v="1"/>
    <x v="5"/>
    <x v="675"/>
    <x v="0"/>
    <x v="695"/>
    <x v="0"/>
  </r>
  <r>
    <x v="610"/>
    <x v="1"/>
    <x v="0"/>
    <x v="1"/>
    <x v="5"/>
    <x v="676"/>
    <x v="5"/>
    <x v="696"/>
    <x v="0"/>
  </r>
  <r>
    <x v="611"/>
    <x v="1"/>
    <x v="0"/>
    <x v="1"/>
    <x v="5"/>
    <x v="677"/>
    <x v="5"/>
    <x v="697"/>
    <x v="0"/>
  </r>
  <r>
    <x v="612"/>
    <x v="4"/>
    <x v="0"/>
    <x v="1"/>
    <x v="5"/>
    <x v="617"/>
    <x v="140"/>
    <x v="698"/>
    <x v="0"/>
  </r>
  <r>
    <x v="613"/>
    <x v="0"/>
    <x v="0"/>
    <x v="1"/>
    <x v="5"/>
    <x v="678"/>
    <x v="0"/>
    <x v="699"/>
    <x v="0"/>
  </r>
  <r>
    <x v="120"/>
    <x v="1"/>
    <x v="0"/>
    <x v="1"/>
    <x v="5"/>
    <x v="679"/>
    <x v="0"/>
    <x v="700"/>
    <x v="0"/>
  </r>
  <r>
    <x v="614"/>
    <x v="0"/>
    <x v="0"/>
    <x v="1"/>
    <x v="5"/>
    <x v="680"/>
    <x v="0"/>
    <x v="701"/>
    <x v="0"/>
  </r>
  <r>
    <x v="615"/>
    <x v="1"/>
    <x v="0"/>
    <x v="1"/>
    <x v="5"/>
    <x v="681"/>
    <x v="0"/>
    <x v="702"/>
    <x v="0"/>
  </r>
  <r>
    <x v="616"/>
    <x v="1"/>
    <x v="0"/>
    <x v="1"/>
    <x v="5"/>
    <x v="682"/>
    <x v="0"/>
    <x v="703"/>
    <x v="0"/>
  </r>
  <r>
    <x v="320"/>
    <x v="0"/>
    <x v="0"/>
    <x v="1"/>
    <x v="5"/>
    <x v="683"/>
    <x v="0"/>
    <x v="704"/>
    <x v="0"/>
  </r>
  <r>
    <x v="617"/>
    <x v="0"/>
    <x v="0"/>
    <x v="1"/>
    <x v="5"/>
    <x v="684"/>
    <x v="0"/>
    <x v="705"/>
    <x v="0"/>
  </r>
  <r>
    <x v="618"/>
    <x v="1"/>
    <x v="0"/>
    <x v="1"/>
    <x v="5"/>
    <x v="685"/>
    <x v="0"/>
    <x v="706"/>
    <x v="0"/>
  </r>
  <r>
    <x v="89"/>
    <x v="0"/>
    <x v="0"/>
    <x v="1"/>
    <x v="5"/>
    <x v="686"/>
    <x v="0"/>
    <x v="707"/>
    <x v="0"/>
  </r>
  <r>
    <x v="619"/>
    <x v="1"/>
    <x v="0"/>
    <x v="1"/>
    <x v="5"/>
    <x v="687"/>
    <x v="0"/>
    <x v="708"/>
    <x v="0"/>
  </r>
  <r>
    <x v="620"/>
    <x v="0"/>
    <x v="0"/>
    <x v="1"/>
    <x v="5"/>
    <x v="688"/>
    <x v="0"/>
    <x v="709"/>
    <x v="0"/>
  </r>
  <r>
    <x v="621"/>
    <x v="0"/>
    <x v="0"/>
    <x v="1"/>
    <x v="5"/>
    <x v="689"/>
    <x v="0"/>
    <x v="710"/>
    <x v="0"/>
  </r>
  <r>
    <x v="622"/>
    <x v="0"/>
    <x v="0"/>
    <x v="1"/>
    <x v="5"/>
    <x v="689"/>
    <x v="0"/>
    <x v="710"/>
    <x v="0"/>
  </r>
  <r>
    <x v="623"/>
    <x v="5"/>
    <x v="0"/>
    <x v="1"/>
    <x v="5"/>
    <x v="690"/>
    <x v="4"/>
    <x v="711"/>
    <x v="0"/>
  </r>
  <r>
    <x v="378"/>
    <x v="3"/>
    <x v="0"/>
    <x v="1"/>
    <x v="5"/>
    <x v="652"/>
    <x v="141"/>
    <x v="712"/>
    <x v="0"/>
  </r>
  <r>
    <x v="624"/>
    <x v="4"/>
    <x v="0"/>
    <x v="1"/>
    <x v="5"/>
    <x v="617"/>
    <x v="142"/>
    <x v="713"/>
    <x v="0"/>
  </r>
  <r>
    <x v="597"/>
    <x v="4"/>
    <x v="0"/>
    <x v="1"/>
    <x v="5"/>
    <x v="617"/>
    <x v="143"/>
    <x v="714"/>
    <x v="0"/>
  </r>
  <r>
    <x v="625"/>
    <x v="0"/>
    <x v="0"/>
    <x v="1"/>
    <x v="5"/>
    <x v="691"/>
    <x v="0"/>
    <x v="715"/>
    <x v="0"/>
  </r>
  <r>
    <x v="626"/>
    <x v="1"/>
    <x v="0"/>
    <x v="1"/>
    <x v="5"/>
    <x v="692"/>
    <x v="0"/>
    <x v="716"/>
    <x v="0"/>
  </r>
  <r>
    <x v="120"/>
    <x v="2"/>
    <x v="0"/>
    <x v="1"/>
    <x v="5"/>
    <x v="693"/>
    <x v="0"/>
    <x v="717"/>
    <x v="0"/>
  </r>
  <r>
    <x v="359"/>
    <x v="4"/>
    <x v="0"/>
    <x v="1"/>
    <x v="5"/>
    <x v="617"/>
    <x v="144"/>
    <x v="718"/>
    <x v="0"/>
  </r>
  <r>
    <x v="627"/>
    <x v="0"/>
    <x v="0"/>
    <x v="1"/>
    <x v="5"/>
    <x v="694"/>
    <x v="0"/>
    <x v="719"/>
    <x v="0"/>
  </r>
  <r>
    <x v="37"/>
    <x v="3"/>
    <x v="0"/>
    <x v="0"/>
    <x v="19"/>
    <x v="393"/>
    <x v="145"/>
    <x v="720"/>
    <x v="0"/>
  </r>
  <r>
    <x v="59"/>
    <x v="0"/>
    <x v="0"/>
    <x v="1"/>
    <x v="5"/>
    <x v="695"/>
    <x v="0"/>
    <x v="721"/>
    <x v="0"/>
  </r>
  <r>
    <x v="70"/>
    <x v="0"/>
    <x v="0"/>
    <x v="1"/>
    <x v="5"/>
    <x v="696"/>
    <x v="0"/>
    <x v="722"/>
    <x v="0"/>
  </r>
  <r>
    <x v="628"/>
    <x v="1"/>
    <x v="0"/>
    <x v="1"/>
    <x v="5"/>
    <x v="697"/>
    <x v="0"/>
    <x v="723"/>
    <x v="0"/>
  </r>
  <r>
    <x v="472"/>
    <x v="4"/>
    <x v="0"/>
    <x v="1"/>
    <x v="5"/>
    <x v="698"/>
    <x v="0"/>
    <x v="724"/>
    <x v="0"/>
  </r>
  <r>
    <x v="629"/>
    <x v="4"/>
    <x v="0"/>
    <x v="1"/>
    <x v="5"/>
    <x v="571"/>
    <x v="146"/>
    <x v="725"/>
    <x v="0"/>
  </r>
  <r>
    <x v="127"/>
    <x v="1"/>
    <x v="0"/>
    <x v="1"/>
    <x v="5"/>
    <x v="699"/>
    <x v="0"/>
    <x v="726"/>
    <x v="0"/>
  </r>
  <r>
    <x v="414"/>
    <x v="4"/>
    <x v="0"/>
    <x v="1"/>
    <x v="5"/>
    <x v="617"/>
    <x v="147"/>
    <x v="727"/>
    <x v="0"/>
  </r>
  <r>
    <x v="182"/>
    <x v="1"/>
    <x v="0"/>
    <x v="1"/>
    <x v="5"/>
    <x v="700"/>
    <x v="0"/>
    <x v="728"/>
    <x v="0"/>
  </r>
  <r>
    <x v="630"/>
    <x v="0"/>
    <x v="0"/>
    <x v="1"/>
    <x v="5"/>
    <x v="701"/>
    <x v="0"/>
    <x v="729"/>
    <x v="0"/>
  </r>
  <r>
    <x v="288"/>
    <x v="0"/>
    <x v="0"/>
    <x v="1"/>
    <x v="5"/>
    <x v="702"/>
    <x v="0"/>
    <x v="730"/>
    <x v="0"/>
  </r>
  <r>
    <x v="631"/>
    <x v="0"/>
    <x v="0"/>
    <x v="1"/>
    <x v="5"/>
    <x v="703"/>
    <x v="0"/>
    <x v="731"/>
    <x v="0"/>
  </r>
  <r>
    <x v="632"/>
    <x v="1"/>
    <x v="0"/>
    <x v="1"/>
    <x v="5"/>
    <x v="704"/>
    <x v="0"/>
    <x v="732"/>
    <x v="0"/>
  </r>
  <r>
    <x v="633"/>
    <x v="5"/>
    <x v="0"/>
    <x v="1"/>
    <x v="5"/>
    <x v="705"/>
    <x v="148"/>
    <x v="733"/>
    <x v="0"/>
  </r>
  <r>
    <x v="634"/>
    <x v="0"/>
    <x v="0"/>
    <x v="1"/>
    <x v="5"/>
    <x v="706"/>
    <x v="0"/>
    <x v="734"/>
    <x v="0"/>
  </r>
  <r>
    <x v="635"/>
    <x v="1"/>
    <x v="0"/>
    <x v="1"/>
    <x v="5"/>
    <x v="707"/>
    <x v="0"/>
    <x v="735"/>
    <x v="0"/>
  </r>
  <r>
    <x v="636"/>
    <x v="4"/>
    <x v="0"/>
    <x v="1"/>
    <x v="5"/>
    <x v="617"/>
    <x v="149"/>
    <x v="736"/>
    <x v="0"/>
  </r>
  <r>
    <x v="637"/>
    <x v="0"/>
    <x v="0"/>
    <x v="1"/>
    <x v="5"/>
    <x v="708"/>
    <x v="0"/>
    <x v="737"/>
    <x v="0"/>
  </r>
  <r>
    <x v="638"/>
    <x v="1"/>
    <x v="0"/>
    <x v="1"/>
    <x v="5"/>
    <x v="709"/>
    <x v="0"/>
    <x v="738"/>
    <x v="0"/>
  </r>
  <r>
    <x v="639"/>
    <x v="0"/>
    <x v="0"/>
    <x v="1"/>
    <x v="5"/>
    <x v="710"/>
    <x v="0"/>
    <x v="739"/>
    <x v="0"/>
  </r>
  <r>
    <x v="640"/>
    <x v="1"/>
    <x v="0"/>
    <x v="1"/>
    <x v="5"/>
    <x v="710"/>
    <x v="0"/>
    <x v="739"/>
    <x v="0"/>
  </r>
  <r>
    <x v="641"/>
    <x v="0"/>
    <x v="0"/>
    <x v="1"/>
    <x v="5"/>
    <x v="711"/>
    <x v="0"/>
    <x v="740"/>
    <x v="0"/>
  </r>
  <r>
    <x v="428"/>
    <x v="1"/>
    <x v="0"/>
    <x v="1"/>
    <x v="5"/>
    <x v="712"/>
    <x v="0"/>
    <x v="741"/>
    <x v="0"/>
  </r>
  <r>
    <x v="641"/>
    <x v="1"/>
    <x v="0"/>
    <x v="1"/>
    <x v="5"/>
    <x v="713"/>
    <x v="0"/>
    <x v="742"/>
    <x v="0"/>
  </r>
  <r>
    <x v="642"/>
    <x v="0"/>
    <x v="0"/>
    <x v="1"/>
    <x v="5"/>
    <x v="714"/>
    <x v="0"/>
    <x v="743"/>
    <x v="0"/>
  </r>
  <r>
    <x v="643"/>
    <x v="1"/>
    <x v="0"/>
    <x v="1"/>
    <x v="5"/>
    <x v="715"/>
    <x v="0"/>
    <x v="744"/>
    <x v="0"/>
  </r>
  <r>
    <x v="405"/>
    <x v="0"/>
    <x v="0"/>
    <x v="1"/>
    <x v="5"/>
    <x v="716"/>
    <x v="0"/>
    <x v="745"/>
    <x v="0"/>
  </r>
  <r>
    <x v="171"/>
    <x v="4"/>
    <x v="0"/>
    <x v="1"/>
    <x v="5"/>
    <x v="617"/>
    <x v="150"/>
    <x v="746"/>
    <x v="0"/>
  </r>
  <r>
    <x v="644"/>
    <x v="1"/>
    <x v="0"/>
    <x v="1"/>
    <x v="5"/>
    <x v="717"/>
    <x v="0"/>
    <x v="747"/>
    <x v="0"/>
  </r>
  <r>
    <x v="313"/>
    <x v="1"/>
    <x v="0"/>
    <x v="1"/>
    <x v="5"/>
    <x v="718"/>
    <x v="0"/>
    <x v="748"/>
    <x v="0"/>
  </r>
  <r>
    <x v="645"/>
    <x v="1"/>
    <x v="0"/>
    <x v="1"/>
    <x v="5"/>
    <x v="719"/>
    <x v="0"/>
    <x v="749"/>
    <x v="0"/>
  </r>
  <r>
    <x v="646"/>
    <x v="2"/>
    <x v="0"/>
    <x v="1"/>
    <x v="5"/>
    <x v="720"/>
    <x v="0"/>
    <x v="750"/>
    <x v="0"/>
  </r>
  <r>
    <x v="647"/>
    <x v="1"/>
    <x v="0"/>
    <x v="1"/>
    <x v="5"/>
    <x v="721"/>
    <x v="0"/>
    <x v="751"/>
    <x v="0"/>
  </r>
  <r>
    <x v="648"/>
    <x v="0"/>
    <x v="0"/>
    <x v="1"/>
    <x v="5"/>
    <x v="722"/>
    <x v="0"/>
    <x v="752"/>
    <x v="0"/>
  </r>
  <r>
    <x v="20"/>
    <x v="0"/>
    <x v="0"/>
    <x v="0"/>
    <x v="11"/>
    <x v="722"/>
    <x v="0"/>
    <x v="752"/>
    <x v="0"/>
  </r>
  <r>
    <x v="649"/>
    <x v="1"/>
    <x v="0"/>
    <x v="1"/>
    <x v="5"/>
    <x v="723"/>
    <x v="0"/>
    <x v="753"/>
    <x v="0"/>
  </r>
  <r>
    <x v="379"/>
    <x v="1"/>
    <x v="0"/>
    <x v="0"/>
    <x v="38"/>
    <x v="724"/>
    <x v="151"/>
    <x v="754"/>
    <x v="0"/>
  </r>
  <r>
    <x v="113"/>
    <x v="5"/>
    <x v="0"/>
    <x v="1"/>
    <x v="5"/>
    <x v="406"/>
    <x v="152"/>
    <x v="754"/>
    <x v="0"/>
  </r>
  <r>
    <x v="650"/>
    <x v="4"/>
    <x v="0"/>
    <x v="1"/>
    <x v="5"/>
    <x v="617"/>
    <x v="153"/>
    <x v="754"/>
    <x v="0"/>
  </r>
  <r>
    <x v="27"/>
    <x v="5"/>
    <x v="0"/>
    <x v="0"/>
    <x v="14"/>
    <x v="725"/>
    <x v="154"/>
    <x v="754"/>
    <x v="0"/>
  </r>
  <r>
    <x v="651"/>
    <x v="3"/>
    <x v="0"/>
    <x v="1"/>
    <x v="5"/>
    <x v="726"/>
    <x v="155"/>
    <x v="754"/>
    <x v="0"/>
  </r>
  <r>
    <x v="645"/>
    <x v="5"/>
    <x v="0"/>
    <x v="1"/>
    <x v="5"/>
    <x v="727"/>
    <x v="156"/>
    <x v="754"/>
    <x v="0"/>
  </r>
  <r>
    <x v="574"/>
    <x v="5"/>
    <x v="0"/>
    <x v="1"/>
    <x v="5"/>
    <x v="728"/>
    <x v="157"/>
    <x v="754"/>
    <x v="0"/>
  </r>
  <r>
    <x v="399"/>
    <x v="4"/>
    <x v="0"/>
    <x v="1"/>
    <x v="5"/>
    <x v="617"/>
    <x v="153"/>
    <x v="754"/>
    <x v="0"/>
  </r>
  <r>
    <x v="652"/>
    <x v="4"/>
    <x v="0"/>
    <x v="1"/>
    <x v="5"/>
    <x v="729"/>
    <x v="158"/>
    <x v="754"/>
    <x v="0"/>
  </r>
  <r>
    <x v="653"/>
    <x v="4"/>
    <x v="0"/>
    <x v="1"/>
    <x v="5"/>
    <x v="730"/>
    <x v="159"/>
    <x v="754"/>
    <x v="0"/>
  </r>
  <r>
    <x v="654"/>
    <x v="5"/>
    <x v="0"/>
    <x v="1"/>
    <x v="5"/>
    <x v="406"/>
    <x v="152"/>
    <x v="754"/>
    <x v="0"/>
  </r>
  <r>
    <x v="450"/>
    <x v="4"/>
    <x v="0"/>
    <x v="1"/>
    <x v="5"/>
    <x v="436"/>
    <x v="160"/>
    <x v="754"/>
    <x v="0"/>
  </r>
  <r>
    <x v="144"/>
    <x v="5"/>
    <x v="0"/>
    <x v="1"/>
    <x v="5"/>
    <x v="731"/>
    <x v="161"/>
    <x v="754"/>
    <x v="0"/>
  </r>
  <r>
    <x v="605"/>
    <x v="4"/>
    <x v="0"/>
    <x v="1"/>
    <x v="5"/>
    <x v="617"/>
    <x v="153"/>
    <x v="754"/>
    <x v="0"/>
  </r>
  <r>
    <x v="434"/>
    <x v="5"/>
    <x v="0"/>
    <x v="0"/>
    <x v="40"/>
    <x v="732"/>
    <x v="162"/>
    <x v="754"/>
    <x v="0"/>
  </r>
  <r>
    <x v="655"/>
    <x v="5"/>
    <x v="0"/>
    <x v="1"/>
    <x v="5"/>
    <x v="733"/>
    <x v="163"/>
    <x v="754"/>
    <x v="0"/>
  </r>
  <r>
    <x v="27"/>
    <x v="3"/>
    <x v="0"/>
    <x v="0"/>
    <x v="14"/>
    <x v="734"/>
    <x v="164"/>
    <x v="754"/>
    <x v="0"/>
  </r>
  <r>
    <x v="389"/>
    <x v="4"/>
    <x v="0"/>
    <x v="1"/>
    <x v="5"/>
    <x v="735"/>
    <x v="165"/>
    <x v="754"/>
    <x v="0"/>
  </r>
  <r>
    <x v="656"/>
    <x v="5"/>
    <x v="0"/>
    <x v="1"/>
    <x v="5"/>
    <x v="736"/>
    <x v="166"/>
    <x v="754"/>
    <x v="0"/>
  </r>
  <r>
    <x v="657"/>
    <x v="3"/>
    <x v="0"/>
    <x v="1"/>
    <x v="5"/>
    <x v="737"/>
    <x v="167"/>
    <x v="754"/>
    <x v="0"/>
  </r>
  <r>
    <x v="5"/>
    <x v="4"/>
    <x v="0"/>
    <x v="1"/>
    <x v="5"/>
    <x v="738"/>
    <x v="168"/>
    <x v="754"/>
    <x v="0"/>
  </r>
  <r>
    <x v="658"/>
    <x v="5"/>
    <x v="0"/>
    <x v="1"/>
    <x v="5"/>
    <x v="739"/>
    <x v="169"/>
    <x v="754"/>
    <x v="0"/>
  </r>
  <r>
    <x v="405"/>
    <x v="4"/>
    <x v="0"/>
    <x v="1"/>
    <x v="5"/>
    <x v="740"/>
    <x v="170"/>
    <x v="754"/>
    <x v="0"/>
  </r>
  <r>
    <x v="412"/>
    <x v="5"/>
    <x v="0"/>
    <x v="1"/>
    <x v="5"/>
    <x v="741"/>
    <x v="171"/>
    <x v="754"/>
    <x v="0"/>
  </r>
  <r>
    <x v="659"/>
    <x v="5"/>
    <x v="0"/>
    <x v="0"/>
    <x v="42"/>
    <x v="742"/>
    <x v="172"/>
    <x v="754"/>
    <x v="0"/>
  </r>
  <r>
    <x v="102"/>
    <x v="4"/>
    <x v="0"/>
    <x v="1"/>
    <x v="5"/>
    <x v="743"/>
    <x v="173"/>
    <x v="754"/>
    <x v="0"/>
  </r>
  <r>
    <x v="13"/>
    <x v="3"/>
    <x v="0"/>
    <x v="0"/>
    <x v="9"/>
    <x v="744"/>
    <x v="174"/>
    <x v="754"/>
    <x v="0"/>
  </r>
  <r>
    <x v="310"/>
    <x v="5"/>
    <x v="0"/>
    <x v="1"/>
    <x v="5"/>
    <x v="745"/>
    <x v="175"/>
    <x v="754"/>
    <x v="0"/>
  </r>
  <r>
    <x v="660"/>
    <x v="2"/>
    <x v="0"/>
    <x v="1"/>
    <x v="5"/>
    <x v="746"/>
    <x v="176"/>
    <x v="754"/>
    <x v="0"/>
  </r>
  <r>
    <x v="660"/>
    <x v="5"/>
    <x v="0"/>
    <x v="1"/>
    <x v="5"/>
    <x v="747"/>
    <x v="177"/>
    <x v="754"/>
    <x v="0"/>
  </r>
  <r>
    <x v="84"/>
    <x v="5"/>
    <x v="0"/>
    <x v="1"/>
    <x v="5"/>
    <x v="748"/>
    <x v="178"/>
    <x v="754"/>
    <x v="0"/>
  </r>
  <r>
    <x v="134"/>
    <x v="5"/>
    <x v="0"/>
    <x v="1"/>
    <x v="5"/>
    <x v="749"/>
    <x v="179"/>
    <x v="754"/>
    <x v="0"/>
  </r>
  <r>
    <x v="55"/>
    <x v="5"/>
    <x v="0"/>
    <x v="1"/>
    <x v="5"/>
    <x v="750"/>
    <x v="180"/>
    <x v="754"/>
    <x v="0"/>
  </r>
  <r>
    <x v="431"/>
    <x v="1"/>
    <x v="0"/>
    <x v="1"/>
    <x v="5"/>
    <x v="751"/>
    <x v="181"/>
    <x v="754"/>
    <x v="0"/>
  </r>
  <r>
    <x v="426"/>
    <x v="5"/>
    <x v="0"/>
    <x v="1"/>
    <x v="5"/>
    <x v="752"/>
    <x v="182"/>
    <x v="754"/>
    <x v="0"/>
  </r>
  <r>
    <x v="414"/>
    <x v="5"/>
    <x v="0"/>
    <x v="1"/>
    <x v="5"/>
    <x v="753"/>
    <x v="183"/>
    <x v="754"/>
    <x v="0"/>
  </r>
  <r>
    <x v="661"/>
    <x v="5"/>
    <x v="0"/>
    <x v="1"/>
    <x v="5"/>
    <x v="754"/>
    <x v="184"/>
    <x v="754"/>
    <x v="0"/>
  </r>
  <r>
    <x v="662"/>
    <x v="4"/>
    <x v="0"/>
    <x v="1"/>
    <x v="5"/>
    <x v="755"/>
    <x v="185"/>
    <x v="754"/>
    <x v="0"/>
  </r>
  <r>
    <x v="122"/>
    <x v="5"/>
    <x v="0"/>
    <x v="1"/>
    <x v="5"/>
    <x v="756"/>
    <x v="186"/>
    <x v="754"/>
    <x v="0"/>
  </r>
  <r>
    <x v="18"/>
    <x v="3"/>
    <x v="0"/>
    <x v="1"/>
    <x v="5"/>
    <x v="757"/>
    <x v="187"/>
    <x v="754"/>
    <x v="0"/>
  </r>
  <r>
    <x v="663"/>
    <x v="4"/>
    <x v="0"/>
    <x v="1"/>
    <x v="5"/>
    <x v="617"/>
    <x v="153"/>
    <x v="754"/>
    <x v="0"/>
  </r>
  <r>
    <x v="664"/>
    <x v="5"/>
    <x v="0"/>
    <x v="1"/>
    <x v="5"/>
    <x v="758"/>
    <x v="188"/>
    <x v="754"/>
    <x v="0"/>
  </r>
  <r>
    <x v="665"/>
    <x v="4"/>
    <x v="0"/>
    <x v="1"/>
    <x v="5"/>
    <x v="617"/>
    <x v="153"/>
    <x v="754"/>
    <x v="0"/>
  </r>
  <r>
    <x v="666"/>
    <x v="3"/>
    <x v="0"/>
    <x v="1"/>
    <x v="5"/>
    <x v="759"/>
    <x v="189"/>
    <x v="754"/>
    <x v="0"/>
  </r>
  <r>
    <x v="574"/>
    <x v="2"/>
    <x v="0"/>
    <x v="1"/>
    <x v="5"/>
    <x v="760"/>
    <x v="190"/>
    <x v="754"/>
    <x v="0"/>
  </r>
  <r>
    <x v="135"/>
    <x v="4"/>
    <x v="0"/>
    <x v="1"/>
    <x v="5"/>
    <x v="761"/>
    <x v="191"/>
    <x v="754"/>
    <x v="0"/>
  </r>
  <r>
    <x v="667"/>
    <x v="4"/>
    <x v="0"/>
    <x v="1"/>
    <x v="5"/>
    <x v="762"/>
    <x v="192"/>
    <x v="754"/>
    <x v="0"/>
  </r>
  <r>
    <x v="668"/>
    <x v="4"/>
    <x v="0"/>
    <x v="0"/>
    <x v="35"/>
    <x v="763"/>
    <x v="193"/>
    <x v="754"/>
    <x v="0"/>
  </r>
  <r>
    <x v="164"/>
    <x v="4"/>
    <x v="0"/>
    <x v="0"/>
    <x v="28"/>
    <x v="764"/>
    <x v="194"/>
    <x v="754"/>
    <x v="0"/>
  </r>
  <r>
    <x v="669"/>
    <x v="4"/>
    <x v="0"/>
    <x v="0"/>
    <x v="43"/>
    <x v="429"/>
    <x v="195"/>
    <x v="754"/>
    <x v="0"/>
  </r>
  <r>
    <x v="662"/>
    <x v="1"/>
    <x v="0"/>
    <x v="1"/>
    <x v="5"/>
    <x v="765"/>
    <x v="196"/>
    <x v="754"/>
    <x v="0"/>
  </r>
  <r>
    <x v="46"/>
    <x v="4"/>
    <x v="0"/>
    <x v="1"/>
    <x v="5"/>
    <x v="766"/>
    <x v="197"/>
    <x v="754"/>
    <x v="0"/>
  </r>
  <r>
    <x v="670"/>
    <x v="4"/>
    <x v="0"/>
    <x v="1"/>
    <x v="5"/>
    <x v="617"/>
    <x v="153"/>
    <x v="754"/>
    <x v="0"/>
  </r>
  <r>
    <x v="671"/>
    <x v="0"/>
    <x v="0"/>
    <x v="1"/>
    <x v="5"/>
    <x v="767"/>
    <x v="198"/>
    <x v="754"/>
    <x v="0"/>
  </r>
  <r>
    <x v="672"/>
    <x v="1"/>
    <x v="0"/>
    <x v="1"/>
    <x v="5"/>
    <x v="768"/>
    <x v="199"/>
    <x v="754"/>
    <x v="0"/>
  </r>
  <r>
    <x v="157"/>
    <x v="4"/>
    <x v="0"/>
    <x v="1"/>
    <x v="5"/>
    <x v="617"/>
    <x v="153"/>
    <x v="754"/>
    <x v="0"/>
  </r>
  <r>
    <x v="673"/>
    <x v="5"/>
    <x v="0"/>
    <x v="1"/>
    <x v="5"/>
    <x v="769"/>
    <x v="200"/>
    <x v="754"/>
    <x v="0"/>
  </r>
  <r>
    <x v="674"/>
    <x v="4"/>
    <x v="0"/>
    <x v="1"/>
    <x v="5"/>
    <x v="617"/>
    <x v="153"/>
    <x v="754"/>
    <x v="0"/>
  </r>
  <r>
    <x v="675"/>
    <x v="5"/>
    <x v="0"/>
    <x v="1"/>
    <x v="5"/>
    <x v="770"/>
    <x v="201"/>
    <x v="754"/>
    <x v="0"/>
  </r>
  <r>
    <x v="39"/>
    <x v="3"/>
    <x v="0"/>
    <x v="1"/>
    <x v="5"/>
    <x v="771"/>
    <x v="202"/>
    <x v="754"/>
    <x v="0"/>
  </r>
  <r>
    <x v="214"/>
    <x v="5"/>
    <x v="0"/>
    <x v="1"/>
    <x v="5"/>
    <x v="772"/>
    <x v="203"/>
    <x v="754"/>
    <x v="0"/>
  </r>
  <r>
    <x v="476"/>
    <x v="5"/>
    <x v="0"/>
    <x v="1"/>
    <x v="5"/>
    <x v="773"/>
    <x v="204"/>
    <x v="754"/>
    <x v="0"/>
  </r>
  <r>
    <x v="660"/>
    <x v="0"/>
    <x v="0"/>
    <x v="1"/>
    <x v="5"/>
    <x v="774"/>
    <x v="205"/>
    <x v="754"/>
    <x v="0"/>
  </r>
  <r>
    <x v="28"/>
    <x v="5"/>
    <x v="0"/>
    <x v="1"/>
    <x v="5"/>
    <x v="775"/>
    <x v="206"/>
    <x v="754"/>
    <x v="0"/>
  </r>
  <r>
    <x v="676"/>
    <x v="4"/>
    <x v="0"/>
    <x v="1"/>
    <x v="5"/>
    <x v="776"/>
    <x v="207"/>
    <x v="754"/>
    <x v="0"/>
  </r>
  <r>
    <x v="677"/>
    <x v="1"/>
    <x v="0"/>
    <x v="1"/>
    <x v="5"/>
    <x v="777"/>
    <x v="208"/>
    <x v="754"/>
    <x v="0"/>
  </r>
  <r>
    <x v="129"/>
    <x v="4"/>
    <x v="0"/>
    <x v="1"/>
    <x v="5"/>
    <x v="778"/>
    <x v="209"/>
    <x v="754"/>
    <x v="0"/>
  </r>
  <r>
    <x v="678"/>
    <x v="1"/>
    <x v="0"/>
    <x v="1"/>
    <x v="5"/>
    <x v="779"/>
    <x v="210"/>
    <x v="754"/>
    <x v="0"/>
  </r>
  <r>
    <x v="679"/>
    <x v="4"/>
    <x v="0"/>
    <x v="1"/>
    <x v="5"/>
    <x v="617"/>
    <x v="153"/>
    <x v="754"/>
    <x v="0"/>
  </r>
  <r>
    <x v="680"/>
    <x v="0"/>
    <x v="0"/>
    <x v="0"/>
    <x v="44"/>
    <x v="780"/>
    <x v="211"/>
    <x v="754"/>
    <x v="0"/>
  </r>
  <r>
    <x v="681"/>
    <x v="5"/>
    <x v="0"/>
    <x v="1"/>
    <x v="5"/>
    <x v="781"/>
    <x v="212"/>
    <x v="754"/>
    <x v="0"/>
  </r>
  <r>
    <x v="643"/>
    <x v="5"/>
    <x v="0"/>
    <x v="1"/>
    <x v="5"/>
    <x v="782"/>
    <x v="213"/>
    <x v="754"/>
    <x v="0"/>
  </r>
  <r>
    <x v="682"/>
    <x v="5"/>
    <x v="0"/>
    <x v="1"/>
    <x v="5"/>
    <x v="783"/>
    <x v="214"/>
    <x v="754"/>
    <x v="0"/>
  </r>
  <r>
    <x v="137"/>
    <x v="4"/>
    <x v="0"/>
    <x v="1"/>
    <x v="5"/>
    <x v="784"/>
    <x v="215"/>
    <x v="754"/>
    <x v="0"/>
  </r>
  <r>
    <x v="107"/>
    <x v="5"/>
    <x v="0"/>
    <x v="1"/>
    <x v="5"/>
    <x v="785"/>
    <x v="216"/>
    <x v="754"/>
    <x v="0"/>
  </r>
  <r>
    <x v="114"/>
    <x v="4"/>
    <x v="0"/>
    <x v="1"/>
    <x v="5"/>
    <x v="786"/>
    <x v="217"/>
    <x v="754"/>
    <x v="0"/>
  </r>
  <r>
    <x v="683"/>
    <x v="5"/>
    <x v="0"/>
    <x v="1"/>
    <x v="5"/>
    <x v="787"/>
    <x v="218"/>
    <x v="754"/>
    <x v="0"/>
  </r>
  <r>
    <x v="684"/>
    <x v="0"/>
    <x v="0"/>
    <x v="1"/>
    <x v="5"/>
    <x v="788"/>
    <x v="219"/>
    <x v="754"/>
    <x v="0"/>
  </r>
  <r>
    <x v="210"/>
    <x v="5"/>
    <x v="0"/>
    <x v="1"/>
    <x v="5"/>
    <x v="789"/>
    <x v="220"/>
    <x v="754"/>
    <x v="0"/>
  </r>
  <r>
    <x v="379"/>
    <x v="5"/>
    <x v="0"/>
    <x v="0"/>
    <x v="38"/>
    <x v="790"/>
    <x v="221"/>
    <x v="754"/>
    <x v="0"/>
  </r>
  <r>
    <x v="685"/>
    <x v="5"/>
    <x v="0"/>
    <x v="1"/>
    <x v="5"/>
    <x v="791"/>
    <x v="222"/>
    <x v="754"/>
    <x v="0"/>
  </r>
  <r>
    <x v="192"/>
    <x v="5"/>
    <x v="0"/>
    <x v="1"/>
    <x v="5"/>
    <x v="792"/>
    <x v="223"/>
    <x v="754"/>
    <x v="0"/>
  </r>
  <r>
    <x v="686"/>
    <x v="0"/>
    <x v="0"/>
    <x v="1"/>
    <x v="5"/>
    <x v="793"/>
    <x v="224"/>
    <x v="754"/>
    <x v="0"/>
  </r>
  <r>
    <x v="73"/>
    <x v="5"/>
    <x v="0"/>
    <x v="1"/>
    <x v="5"/>
    <x v="794"/>
    <x v="225"/>
    <x v="754"/>
    <x v="0"/>
  </r>
  <r>
    <x v="687"/>
    <x v="1"/>
    <x v="0"/>
    <x v="1"/>
    <x v="5"/>
    <x v="795"/>
    <x v="226"/>
    <x v="754"/>
    <x v="0"/>
  </r>
  <r>
    <x v="686"/>
    <x v="5"/>
    <x v="0"/>
    <x v="1"/>
    <x v="5"/>
    <x v="796"/>
    <x v="227"/>
    <x v="754"/>
    <x v="0"/>
  </r>
  <r>
    <x v="35"/>
    <x v="4"/>
    <x v="0"/>
    <x v="1"/>
    <x v="5"/>
    <x v="797"/>
    <x v="228"/>
    <x v="754"/>
    <x v="0"/>
  </r>
  <r>
    <x v="29"/>
    <x v="5"/>
    <x v="0"/>
    <x v="1"/>
    <x v="5"/>
    <x v="798"/>
    <x v="229"/>
    <x v="754"/>
    <x v="0"/>
  </r>
  <r>
    <x v="688"/>
    <x v="1"/>
    <x v="0"/>
    <x v="1"/>
    <x v="5"/>
    <x v="799"/>
    <x v="230"/>
    <x v="754"/>
    <x v="0"/>
  </r>
  <r>
    <x v="689"/>
    <x v="1"/>
    <x v="0"/>
    <x v="1"/>
    <x v="5"/>
    <x v="800"/>
    <x v="231"/>
    <x v="754"/>
    <x v="0"/>
  </r>
  <r>
    <x v="266"/>
    <x v="5"/>
    <x v="0"/>
    <x v="1"/>
    <x v="5"/>
    <x v="801"/>
    <x v="232"/>
    <x v="754"/>
    <x v="0"/>
  </r>
  <r>
    <x v="318"/>
    <x v="5"/>
    <x v="0"/>
    <x v="1"/>
    <x v="5"/>
    <x v="802"/>
    <x v="233"/>
    <x v="754"/>
    <x v="0"/>
  </r>
  <r>
    <x v="687"/>
    <x v="4"/>
    <x v="0"/>
    <x v="1"/>
    <x v="5"/>
    <x v="803"/>
    <x v="234"/>
    <x v="754"/>
    <x v="0"/>
  </r>
  <r>
    <x v="240"/>
    <x v="5"/>
    <x v="0"/>
    <x v="1"/>
    <x v="5"/>
    <x v="804"/>
    <x v="235"/>
    <x v="754"/>
    <x v="0"/>
  </r>
  <r>
    <x v="129"/>
    <x v="5"/>
    <x v="0"/>
    <x v="1"/>
    <x v="5"/>
    <x v="805"/>
    <x v="236"/>
    <x v="754"/>
    <x v="0"/>
  </r>
  <r>
    <x v="684"/>
    <x v="5"/>
    <x v="0"/>
    <x v="1"/>
    <x v="5"/>
    <x v="806"/>
    <x v="237"/>
    <x v="754"/>
    <x v="0"/>
  </r>
  <r>
    <x v="690"/>
    <x v="5"/>
    <x v="0"/>
    <x v="1"/>
    <x v="5"/>
    <x v="406"/>
    <x v="152"/>
    <x v="754"/>
    <x v="0"/>
  </r>
  <r>
    <x v="270"/>
    <x v="4"/>
    <x v="0"/>
    <x v="1"/>
    <x v="5"/>
    <x v="807"/>
    <x v="238"/>
    <x v="754"/>
    <x v="0"/>
  </r>
  <r>
    <x v="237"/>
    <x v="5"/>
    <x v="0"/>
    <x v="1"/>
    <x v="5"/>
    <x v="808"/>
    <x v="239"/>
    <x v="754"/>
    <x v="0"/>
  </r>
  <r>
    <x v="604"/>
    <x v="5"/>
    <x v="0"/>
    <x v="1"/>
    <x v="5"/>
    <x v="809"/>
    <x v="240"/>
    <x v="754"/>
    <x v="0"/>
  </r>
  <r>
    <x v="691"/>
    <x v="0"/>
    <x v="0"/>
    <x v="1"/>
    <x v="5"/>
    <x v="810"/>
    <x v="241"/>
    <x v="754"/>
    <x v="0"/>
  </r>
  <r>
    <x v="687"/>
    <x v="0"/>
    <x v="0"/>
    <x v="1"/>
    <x v="5"/>
    <x v="811"/>
    <x v="242"/>
    <x v="754"/>
    <x v="0"/>
  </r>
  <r>
    <x v="203"/>
    <x v="5"/>
    <x v="0"/>
    <x v="1"/>
    <x v="5"/>
    <x v="812"/>
    <x v="243"/>
    <x v="754"/>
    <x v="0"/>
  </r>
  <r>
    <x v="52"/>
    <x v="5"/>
    <x v="0"/>
    <x v="1"/>
    <x v="5"/>
    <x v="813"/>
    <x v="244"/>
    <x v="754"/>
    <x v="0"/>
  </r>
  <r>
    <x v="117"/>
    <x v="4"/>
    <x v="0"/>
    <x v="1"/>
    <x v="5"/>
    <x v="814"/>
    <x v="245"/>
    <x v="754"/>
    <x v="0"/>
  </r>
  <r>
    <x v="692"/>
    <x v="5"/>
    <x v="0"/>
    <x v="1"/>
    <x v="5"/>
    <x v="815"/>
    <x v="246"/>
    <x v="754"/>
    <x v="0"/>
  </r>
  <r>
    <x v="331"/>
    <x v="4"/>
    <x v="0"/>
    <x v="1"/>
    <x v="5"/>
    <x v="816"/>
    <x v="247"/>
    <x v="754"/>
    <x v="0"/>
  </r>
  <r>
    <x v="693"/>
    <x v="5"/>
    <x v="0"/>
    <x v="1"/>
    <x v="5"/>
    <x v="817"/>
    <x v="248"/>
    <x v="754"/>
    <x v="0"/>
  </r>
  <r>
    <x v="680"/>
    <x v="4"/>
    <x v="0"/>
    <x v="0"/>
    <x v="44"/>
    <x v="818"/>
    <x v="249"/>
    <x v="754"/>
    <x v="0"/>
  </r>
  <r>
    <x v="130"/>
    <x v="5"/>
    <x v="0"/>
    <x v="1"/>
    <x v="5"/>
    <x v="819"/>
    <x v="250"/>
    <x v="754"/>
    <x v="0"/>
  </r>
  <r>
    <x v="177"/>
    <x v="4"/>
    <x v="0"/>
    <x v="1"/>
    <x v="5"/>
    <x v="617"/>
    <x v="153"/>
    <x v="754"/>
    <x v="0"/>
  </r>
  <r>
    <x v="694"/>
    <x v="4"/>
    <x v="0"/>
    <x v="0"/>
    <x v="45"/>
    <x v="480"/>
    <x v="251"/>
    <x v="754"/>
    <x v="0"/>
  </r>
  <r>
    <x v="695"/>
    <x v="4"/>
    <x v="0"/>
    <x v="1"/>
    <x v="5"/>
    <x v="820"/>
    <x v="252"/>
    <x v="754"/>
    <x v="0"/>
  </r>
  <r>
    <x v="144"/>
    <x v="4"/>
    <x v="0"/>
    <x v="1"/>
    <x v="5"/>
    <x v="821"/>
    <x v="253"/>
    <x v="754"/>
    <x v="0"/>
  </r>
  <r>
    <x v="668"/>
    <x v="5"/>
    <x v="0"/>
    <x v="0"/>
    <x v="35"/>
    <x v="822"/>
    <x v="254"/>
    <x v="754"/>
    <x v="0"/>
  </r>
  <r>
    <x v="116"/>
    <x v="4"/>
    <x v="0"/>
    <x v="1"/>
    <x v="5"/>
    <x v="823"/>
    <x v="255"/>
    <x v="754"/>
    <x v="0"/>
  </r>
  <r>
    <x v="250"/>
    <x v="5"/>
    <x v="0"/>
    <x v="1"/>
    <x v="5"/>
    <x v="824"/>
    <x v="256"/>
    <x v="754"/>
    <x v="0"/>
  </r>
  <r>
    <x v="696"/>
    <x v="1"/>
    <x v="0"/>
    <x v="1"/>
    <x v="5"/>
    <x v="825"/>
    <x v="257"/>
    <x v="754"/>
    <x v="0"/>
  </r>
  <r>
    <x v="574"/>
    <x v="0"/>
    <x v="0"/>
    <x v="1"/>
    <x v="5"/>
    <x v="826"/>
    <x v="258"/>
    <x v="754"/>
    <x v="0"/>
  </r>
  <r>
    <x v="567"/>
    <x v="5"/>
    <x v="0"/>
    <x v="1"/>
    <x v="5"/>
    <x v="827"/>
    <x v="259"/>
    <x v="754"/>
    <x v="0"/>
  </r>
  <r>
    <x v="172"/>
    <x v="0"/>
    <x v="0"/>
    <x v="1"/>
    <x v="5"/>
    <x v="828"/>
    <x v="260"/>
    <x v="754"/>
    <x v="0"/>
  </r>
  <r>
    <x v="697"/>
    <x v="5"/>
    <x v="0"/>
    <x v="1"/>
    <x v="5"/>
    <x v="829"/>
    <x v="261"/>
    <x v="754"/>
    <x v="0"/>
  </r>
  <r>
    <x v="39"/>
    <x v="5"/>
    <x v="0"/>
    <x v="1"/>
    <x v="5"/>
    <x v="830"/>
    <x v="262"/>
    <x v="754"/>
    <x v="0"/>
  </r>
  <r>
    <x v="698"/>
    <x v="1"/>
    <x v="0"/>
    <x v="1"/>
    <x v="5"/>
    <x v="716"/>
    <x v="263"/>
    <x v="754"/>
    <x v="0"/>
  </r>
  <r>
    <x v="220"/>
    <x v="5"/>
    <x v="0"/>
    <x v="1"/>
    <x v="5"/>
    <x v="831"/>
    <x v="264"/>
    <x v="754"/>
    <x v="0"/>
  </r>
  <r>
    <x v="699"/>
    <x v="1"/>
    <x v="0"/>
    <x v="1"/>
    <x v="5"/>
    <x v="832"/>
    <x v="265"/>
    <x v="754"/>
    <x v="0"/>
  </r>
  <r>
    <x v="644"/>
    <x v="5"/>
    <x v="0"/>
    <x v="1"/>
    <x v="5"/>
    <x v="833"/>
    <x v="266"/>
    <x v="754"/>
    <x v="0"/>
  </r>
  <r>
    <x v="700"/>
    <x v="1"/>
    <x v="0"/>
    <x v="1"/>
    <x v="5"/>
    <x v="834"/>
    <x v="267"/>
    <x v="754"/>
    <x v="0"/>
  </r>
  <r>
    <x v="448"/>
    <x v="5"/>
    <x v="0"/>
    <x v="0"/>
    <x v="41"/>
    <x v="835"/>
    <x v="268"/>
    <x v="754"/>
    <x v="0"/>
  </r>
  <r>
    <x v="701"/>
    <x v="5"/>
    <x v="0"/>
    <x v="1"/>
    <x v="5"/>
    <x v="836"/>
    <x v="269"/>
    <x v="754"/>
    <x v="0"/>
  </r>
  <r>
    <x v="702"/>
    <x v="1"/>
    <x v="0"/>
    <x v="1"/>
    <x v="5"/>
    <x v="837"/>
    <x v="270"/>
    <x v="754"/>
    <x v="0"/>
  </r>
  <r>
    <x v="221"/>
    <x v="5"/>
    <x v="0"/>
    <x v="1"/>
    <x v="5"/>
    <x v="838"/>
    <x v="271"/>
    <x v="754"/>
    <x v="0"/>
  </r>
  <r>
    <x v="691"/>
    <x v="1"/>
    <x v="0"/>
    <x v="1"/>
    <x v="5"/>
    <x v="839"/>
    <x v="272"/>
    <x v="754"/>
    <x v="0"/>
  </r>
  <r>
    <x v="703"/>
    <x v="5"/>
    <x v="0"/>
    <x v="1"/>
    <x v="5"/>
    <x v="840"/>
    <x v="273"/>
    <x v="754"/>
    <x v="0"/>
  </r>
  <r>
    <x v="704"/>
    <x v="4"/>
    <x v="0"/>
    <x v="1"/>
    <x v="5"/>
    <x v="841"/>
    <x v="274"/>
    <x v="754"/>
    <x v="0"/>
  </r>
  <r>
    <x v="237"/>
    <x v="4"/>
    <x v="0"/>
    <x v="1"/>
    <x v="5"/>
    <x v="617"/>
    <x v="153"/>
    <x v="754"/>
    <x v="0"/>
  </r>
  <r>
    <x v="705"/>
    <x v="4"/>
    <x v="0"/>
    <x v="1"/>
    <x v="5"/>
    <x v="842"/>
    <x v="275"/>
    <x v="754"/>
    <x v="0"/>
  </r>
  <r>
    <x v="289"/>
    <x v="4"/>
    <x v="0"/>
    <x v="0"/>
    <x v="32"/>
    <x v="843"/>
    <x v="276"/>
    <x v="754"/>
    <x v="0"/>
  </r>
  <r>
    <x v="680"/>
    <x v="5"/>
    <x v="0"/>
    <x v="0"/>
    <x v="44"/>
    <x v="844"/>
    <x v="277"/>
    <x v="754"/>
    <x v="0"/>
  </r>
  <r>
    <x v="706"/>
    <x v="4"/>
    <x v="0"/>
    <x v="1"/>
    <x v="5"/>
    <x v="617"/>
    <x v="153"/>
    <x v="754"/>
    <x v="0"/>
  </r>
  <r>
    <x v="707"/>
    <x v="4"/>
    <x v="0"/>
    <x v="1"/>
    <x v="5"/>
    <x v="617"/>
    <x v="153"/>
    <x v="754"/>
    <x v="0"/>
  </r>
  <r>
    <x v="708"/>
    <x v="4"/>
    <x v="0"/>
    <x v="1"/>
    <x v="5"/>
    <x v="523"/>
    <x v="278"/>
    <x v="754"/>
    <x v="0"/>
  </r>
  <r>
    <x v="2"/>
    <x v="3"/>
    <x v="0"/>
    <x v="0"/>
    <x v="2"/>
    <x v="652"/>
    <x v="279"/>
    <x v="754"/>
    <x v="0"/>
  </r>
  <r>
    <x v="243"/>
    <x v="4"/>
    <x v="0"/>
    <x v="1"/>
    <x v="5"/>
    <x v="845"/>
    <x v="280"/>
    <x v="754"/>
    <x v="0"/>
  </r>
  <r>
    <x v="405"/>
    <x v="5"/>
    <x v="0"/>
    <x v="1"/>
    <x v="5"/>
    <x v="846"/>
    <x v="281"/>
    <x v="754"/>
    <x v="0"/>
  </r>
  <r>
    <x v="709"/>
    <x v="5"/>
    <x v="0"/>
    <x v="0"/>
    <x v="46"/>
    <x v="847"/>
    <x v="282"/>
    <x v="754"/>
    <x v="0"/>
  </r>
  <r>
    <x v="138"/>
    <x v="5"/>
    <x v="0"/>
    <x v="1"/>
    <x v="5"/>
    <x v="848"/>
    <x v="283"/>
    <x v="754"/>
    <x v="0"/>
  </r>
  <r>
    <x v="689"/>
    <x v="0"/>
    <x v="0"/>
    <x v="1"/>
    <x v="5"/>
    <x v="849"/>
    <x v="284"/>
    <x v="754"/>
    <x v="0"/>
  </r>
  <r>
    <x v="260"/>
    <x v="4"/>
    <x v="0"/>
    <x v="1"/>
    <x v="5"/>
    <x v="850"/>
    <x v="285"/>
    <x v="754"/>
    <x v="0"/>
  </r>
  <r>
    <x v="710"/>
    <x v="5"/>
    <x v="0"/>
    <x v="1"/>
    <x v="5"/>
    <x v="851"/>
    <x v="286"/>
    <x v="754"/>
    <x v="0"/>
  </r>
  <r>
    <x v="3"/>
    <x v="3"/>
    <x v="0"/>
    <x v="0"/>
    <x v="3"/>
    <x v="852"/>
    <x v="287"/>
    <x v="754"/>
    <x v="0"/>
  </r>
  <r>
    <x v="97"/>
    <x v="5"/>
    <x v="0"/>
    <x v="1"/>
    <x v="5"/>
    <x v="853"/>
    <x v="288"/>
    <x v="754"/>
    <x v="0"/>
  </r>
  <r>
    <x v="7"/>
    <x v="4"/>
    <x v="0"/>
    <x v="0"/>
    <x v="6"/>
    <x v="854"/>
    <x v="289"/>
    <x v="754"/>
    <x v="0"/>
  </r>
  <r>
    <x v="172"/>
    <x v="5"/>
    <x v="0"/>
    <x v="1"/>
    <x v="5"/>
    <x v="855"/>
    <x v="290"/>
    <x v="754"/>
    <x v="0"/>
  </r>
  <r>
    <x v="596"/>
    <x v="4"/>
    <x v="0"/>
    <x v="1"/>
    <x v="5"/>
    <x v="617"/>
    <x v="153"/>
    <x v="754"/>
    <x v="0"/>
  </r>
  <r>
    <x v="694"/>
    <x v="5"/>
    <x v="0"/>
    <x v="0"/>
    <x v="45"/>
    <x v="856"/>
    <x v="291"/>
    <x v="754"/>
    <x v="0"/>
  </r>
  <r>
    <x v="27"/>
    <x v="4"/>
    <x v="0"/>
    <x v="0"/>
    <x v="14"/>
    <x v="857"/>
    <x v="292"/>
    <x v="754"/>
    <x v="0"/>
  </r>
  <r>
    <x v="711"/>
    <x v="5"/>
    <x v="0"/>
    <x v="1"/>
    <x v="5"/>
    <x v="858"/>
    <x v="293"/>
    <x v="754"/>
    <x v="0"/>
  </r>
  <r>
    <x v="702"/>
    <x v="5"/>
    <x v="0"/>
    <x v="1"/>
    <x v="5"/>
    <x v="859"/>
    <x v="294"/>
    <x v="754"/>
    <x v="0"/>
  </r>
  <r>
    <x v="311"/>
    <x v="4"/>
    <x v="0"/>
    <x v="1"/>
    <x v="5"/>
    <x v="860"/>
    <x v="295"/>
    <x v="754"/>
    <x v="0"/>
  </r>
  <r>
    <x v="623"/>
    <x v="1"/>
    <x v="0"/>
    <x v="1"/>
    <x v="5"/>
    <x v="861"/>
    <x v="296"/>
    <x v="754"/>
    <x v="0"/>
  </r>
  <r>
    <x v="424"/>
    <x v="4"/>
    <x v="0"/>
    <x v="1"/>
    <x v="5"/>
    <x v="571"/>
    <x v="297"/>
    <x v="754"/>
    <x v="0"/>
  </r>
  <r>
    <x v="712"/>
    <x v="0"/>
    <x v="0"/>
    <x v="1"/>
    <x v="5"/>
    <x v="862"/>
    <x v="298"/>
    <x v="754"/>
    <x v="0"/>
  </r>
  <r>
    <x v="655"/>
    <x v="4"/>
    <x v="0"/>
    <x v="1"/>
    <x v="5"/>
    <x v="617"/>
    <x v="153"/>
    <x v="754"/>
    <x v="0"/>
  </r>
  <r>
    <x v="713"/>
    <x v="1"/>
    <x v="0"/>
    <x v="1"/>
    <x v="5"/>
    <x v="863"/>
    <x v="299"/>
    <x v="754"/>
    <x v="0"/>
  </r>
  <r>
    <x v="224"/>
    <x v="4"/>
    <x v="0"/>
    <x v="1"/>
    <x v="5"/>
    <x v="864"/>
    <x v="300"/>
    <x v="754"/>
    <x v="0"/>
  </r>
  <r>
    <x v="407"/>
    <x v="0"/>
    <x v="0"/>
    <x v="1"/>
    <x v="5"/>
    <x v="865"/>
    <x v="301"/>
    <x v="754"/>
    <x v="0"/>
  </r>
  <r>
    <x v="82"/>
    <x v="4"/>
    <x v="0"/>
    <x v="1"/>
    <x v="5"/>
    <x v="866"/>
    <x v="302"/>
    <x v="754"/>
    <x v="0"/>
  </r>
  <r>
    <x v="714"/>
    <x v="5"/>
    <x v="0"/>
    <x v="1"/>
    <x v="5"/>
    <x v="867"/>
    <x v="303"/>
    <x v="754"/>
    <x v="0"/>
  </r>
  <r>
    <x v="67"/>
    <x v="3"/>
    <x v="0"/>
    <x v="0"/>
    <x v="22"/>
    <x v="868"/>
    <x v="304"/>
    <x v="754"/>
    <x v="0"/>
  </r>
  <r>
    <x v="715"/>
    <x v="5"/>
    <x v="0"/>
    <x v="1"/>
    <x v="5"/>
    <x v="406"/>
    <x v="152"/>
    <x v="754"/>
    <x v="0"/>
  </r>
  <r>
    <x v="242"/>
    <x v="4"/>
    <x v="0"/>
    <x v="1"/>
    <x v="5"/>
    <x v="617"/>
    <x v="153"/>
    <x v="754"/>
    <x v="0"/>
  </r>
  <r>
    <x v="280"/>
    <x v="5"/>
    <x v="0"/>
    <x v="1"/>
    <x v="5"/>
    <x v="869"/>
    <x v="305"/>
    <x v="754"/>
    <x v="0"/>
  </r>
  <r>
    <x v="716"/>
    <x v="1"/>
    <x v="0"/>
    <x v="1"/>
    <x v="5"/>
    <x v="870"/>
    <x v="306"/>
    <x v="754"/>
    <x v="0"/>
  </r>
  <r>
    <x v="717"/>
    <x v="5"/>
    <x v="0"/>
    <x v="1"/>
    <x v="5"/>
    <x v="406"/>
    <x v="152"/>
    <x v="754"/>
    <x v="0"/>
  </r>
  <r>
    <x v="718"/>
    <x v="1"/>
    <x v="0"/>
    <x v="1"/>
    <x v="5"/>
    <x v="871"/>
    <x v="307"/>
    <x v="754"/>
    <x v="0"/>
  </r>
  <r>
    <x v="105"/>
    <x v="5"/>
    <x v="0"/>
    <x v="1"/>
    <x v="5"/>
    <x v="872"/>
    <x v="308"/>
    <x v="754"/>
    <x v="0"/>
  </r>
  <r>
    <x v="684"/>
    <x v="1"/>
    <x v="0"/>
    <x v="1"/>
    <x v="5"/>
    <x v="873"/>
    <x v="309"/>
    <x v="754"/>
    <x v="0"/>
  </r>
  <r>
    <x v="719"/>
    <x v="5"/>
    <x v="0"/>
    <x v="1"/>
    <x v="5"/>
    <x v="874"/>
    <x v="310"/>
    <x v="754"/>
    <x v="0"/>
  </r>
  <r>
    <x v="696"/>
    <x v="0"/>
    <x v="0"/>
    <x v="1"/>
    <x v="5"/>
    <x v="875"/>
    <x v="311"/>
    <x v="754"/>
    <x v="0"/>
  </r>
  <r>
    <x v="384"/>
    <x v="5"/>
    <x v="0"/>
    <x v="1"/>
    <x v="5"/>
    <x v="876"/>
    <x v="312"/>
    <x v="754"/>
    <x v="0"/>
  </r>
  <r>
    <x v="720"/>
    <x v="1"/>
    <x v="0"/>
    <x v="1"/>
    <x v="5"/>
    <x v="877"/>
    <x v="313"/>
    <x v="754"/>
    <x v="0"/>
  </r>
  <r>
    <x v="163"/>
    <x v="5"/>
    <x v="0"/>
    <x v="0"/>
    <x v="27"/>
    <x v="878"/>
    <x v="314"/>
    <x v="754"/>
    <x v="0"/>
  </r>
  <r>
    <x v="721"/>
    <x v="0"/>
    <x v="0"/>
    <x v="1"/>
    <x v="5"/>
    <x v="879"/>
    <x v="315"/>
    <x v="754"/>
    <x v="0"/>
  </r>
  <r>
    <x v="722"/>
    <x v="5"/>
    <x v="0"/>
    <x v="1"/>
    <x v="5"/>
    <x v="880"/>
    <x v="316"/>
    <x v="754"/>
    <x v="0"/>
  </r>
  <r>
    <x v="167"/>
    <x v="5"/>
    <x v="0"/>
    <x v="1"/>
    <x v="5"/>
    <x v="881"/>
    <x v="317"/>
    <x v="754"/>
    <x v="0"/>
  </r>
  <r>
    <x v="723"/>
    <x v="0"/>
    <x v="0"/>
    <x v="1"/>
    <x v="5"/>
    <x v="882"/>
    <x v="318"/>
    <x v="754"/>
    <x v="0"/>
  </r>
  <r>
    <x v="371"/>
    <x v="5"/>
    <x v="0"/>
    <x v="1"/>
    <x v="5"/>
    <x v="883"/>
    <x v="319"/>
    <x v="754"/>
    <x v="0"/>
  </r>
  <r>
    <x v="724"/>
    <x v="4"/>
    <x v="0"/>
    <x v="0"/>
    <x v="47"/>
    <x v="617"/>
    <x v="153"/>
    <x v="754"/>
    <x v="0"/>
  </r>
  <r>
    <x v="662"/>
    <x v="5"/>
    <x v="0"/>
    <x v="1"/>
    <x v="5"/>
    <x v="884"/>
    <x v="320"/>
    <x v="754"/>
    <x v="0"/>
  </r>
  <r>
    <x v="101"/>
    <x v="5"/>
    <x v="0"/>
    <x v="1"/>
    <x v="5"/>
    <x v="885"/>
    <x v="321"/>
    <x v="754"/>
    <x v="0"/>
  </r>
  <r>
    <x v="115"/>
    <x v="5"/>
    <x v="0"/>
    <x v="1"/>
    <x v="5"/>
    <x v="886"/>
    <x v="322"/>
    <x v="754"/>
    <x v="0"/>
  </r>
  <r>
    <x v="175"/>
    <x v="4"/>
    <x v="0"/>
    <x v="1"/>
    <x v="5"/>
    <x v="887"/>
    <x v="323"/>
    <x v="754"/>
    <x v="0"/>
  </r>
  <r>
    <x v="725"/>
    <x v="5"/>
    <x v="0"/>
    <x v="0"/>
    <x v="48"/>
    <x v="888"/>
    <x v="324"/>
    <x v="754"/>
    <x v="0"/>
  </r>
  <r>
    <x v="399"/>
    <x v="0"/>
    <x v="0"/>
    <x v="1"/>
    <x v="5"/>
    <x v="889"/>
    <x v="325"/>
    <x v="754"/>
    <x v="0"/>
  </r>
  <r>
    <x v="277"/>
    <x v="5"/>
    <x v="0"/>
    <x v="1"/>
    <x v="5"/>
    <x v="890"/>
    <x v="326"/>
    <x v="754"/>
    <x v="0"/>
  </r>
  <r>
    <x v="726"/>
    <x v="1"/>
    <x v="0"/>
    <x v="1"/>
    <x v="5"/>
    <x v="891"/>
    <x v="327"/>
    <x v="754"/>
    <x v="0"/>
  </r>
  <r>
    <x v="356"/>
    <x v="5"/>
    <x v="0"/>
    <x v="1"/>
    <x v="5"/>
    <x v="892"/>
    <x v="328"/>
    <x v="754"/>
    <x v="0"/>
  </r>
  <r>
    <x v="120"/>
    <x v="3"/>
    <x v="0"/>
    <x v="1"/>
    <x v="5"/>
    <x v="893"/>
    <x v="329"/>
    <x v="754"/>
    <x v="0"/>
  </r>
  <r>
    <x v="705"/>
    <x v="5"/>
    <x v="0"/>
    <x v="1"/>
    <x v="5"/>
    <x v="894"/>
    <x v="330"/>
    <x v="754"/>
    <x v="0"/>
  </r>
  <r>
    <x v="250"/>
    <x v="3"/>
    <x v="0"/>
    <x v="1"/>
    <x v="5"/>
    <x v="895"/>
    <x v="331"/>
    <x v="754"/>
    <x v="0"/>
  </r>
  <r>
    <x v="721"/>
    <x v="5"/>
    <x v="0"/>
    <x v="1"/>
    <x v="5"/>
    <x v="896"/>
    <x v="332"/>
    <x v="754"/>
    <x v="0"/>
  </r>
  <r>
    <x v="82"/>
    <x v="5"/>
    <x v="0"/>
    <x v="1"/>
    <x v="5"/>
    <x v="897"/>
    <x v="333"/>
    <x v="754"/>
    <x v="0"/>
  </r>
  <r>
    <x v="231"/>
    <x v="4"/>
    <x v="0"/>
    <x v="1"/>
    <x v="5"/>
    <x v="898"/>
    <x v="334"/>
    <x v="754"/>
    <x v="0"/>
  </r>
  <r>
    <x v="727"/>
    <x v="5"/>
    <x v="0"/>
    <x v="1"/>
    <x v="5"/>
    <x v="899"/>
    <x v="335"/>
    <x v="754"/>
    <x v="0"/>
  </r>
  <r>
    <x v="728"/>
    <x v="4"/>
    <x v="0"/>
    <x v="1"/>
    <x v="5"/>
    <x v="730"/>
    <x v="159"/>
    <x v="754"/>
    <x v="0"/>
  </r>
  <r>
    <x v="295"/>
    <x v="4"/>
    <x v="0"/>
    <x v="1"/>
    <x v="5"/>
    <x v="900"/>
    <x v="336"/>
    <x v="754"/>
    <x v="0"/>
  </r>
  <r>
    <x v="3"/>
    <x v="4"/>
    <x v="0"/>
    <x v="0"/>
    <x v="3"/>
    <x v="901"/>
    <x v="337"/>
    <x v="754"/>
    <x v="0"/>
  </r>
  <r>
    <x v="729"/>
    <x v="4"/>
    <x v="0"/>
    <x v="1"/>
    <x v="5"/>
    <x v="617"/>
    <x v="153"/>
    <x v="754"/>
    <x v="0"/>
  </r>
  <r>
    <x v="191"/>
    <x v="4"/>
    <x v="0"/>
    <x v="1"/>
    <x v="5"/>
    <x v="902"/>
    <x v="338"/>
    <x v="754"/>
    <x v="0"/>
  </r>
  <r>
    <x v="339"/>
    <x v="5"/>
    <x v="0"/>
    <x v="1"/>
    <x v="5"/>
    <x v="903"/>
    <x v="339"/>
    <x v="754"/>
    <x v="0"/>
  </r>
  <r>
    <x v="44"/>
    <x v="4"/>
    <x v="0"/>
    <x v="1"/>
    <x v="5"/>
    <x v="904"/>
    <x v="340"/>
    <x v="754"/>
    <x v="0"/>
  </r>
  <r>
    <x v="721"/>
    <x v="4"/>
    <x v="0"/>
    <x v="1"/>
    <x v="5"/>
    <x v="905"/>
    <x v="341"/>
    <x v="754"/>
    <x v="0"/>
  </r>
  <r>
    <x v="238"/>
    <x v="4"/>
    <x v="0"/>
    <x v="1"/>
    <x v="5"/>
    <x v="906"/>
    <x v="342"/>
    <x v="754"/>
    <x v="0"/>
  </r>
  <r>
    <x v="557"/>
    <x v="5"/>
    <x v="0"/>
    <x v="1"/>
    <x v="5"/>
    <x v="907"/>
    <x v="343"/>
    <x v="754"/>
    <x v="0"/>
  </r>
  <r>
    <x v="730"/>
    <x v="4"/>
    <x v="0"/>
    <x v="1"/>
    <x v="5"/>
    <x v="908"/>
    <x v="344"/>
    <x v="754"/>
    <x v="0"/>
  </r>
  <r>
    <x v="731"/>
    <x v="4"/>
    <x v="0"/>
    <x v="1"/>
    <x v="5"/>
    <x v="617"/>
    <x v="153"/>
    <x v="754"/>
    <x v="0"/>
  </r>
  <r>
    <x v="32"/>
    <x v="5"/>
    <x v="0"/>
    <x v="1"/>
    <x v="5"/>
    <x v="909"/>
    <x v="345"/>
    <x v="754"/>
    <x v="0"/>
  </r>
  <r>
    <x v="108"/>
    <x v="4"/>
    <x v="0"/>
    <x v="0"/>
    <x v="23"/>
    <x v="910"/>
    <x v="346"/>
    <x v="754"/>
    <x v="0"/>
  </r>
  <r>
    <x v="251"/>
    <x v="4"/>
    <x v="0"/>
    <x v="1"/>
    <x v="5"/>
    <x v="911"/>
    <x v="347"/>
    <x v="754"/>
    <x v="0"/>
  </r>
  <r>
    <x v="732"/>
    <x v="5"/>
    <x v="0"/>
    <x v="1"/>
    <x v="5"/>
    <x v="912"/>
    <x v="348"/>
    <x v="754"/>
    <x v="0"/>
  </r>
  <r>
    <x v="84"/>
    <x v="4"/>
    <x v="0"/>
    <x v="1"/>
    <x v="5"/>
    <x v="913"/>
    <x v="349"/>
    <x v="754"/>
    <x v="0"/>
  </r>
  <r>
    <x v="733"/>
    <x v="1"/>
    <x v="0"/>
    <x v="1"/>
    <x v="5"/>
    <x v="914"/>
    <x v="350"/>
    <x v="754"/>
    <x v="0"/>
  </r>
  <r>
    <x v="432"/>
    <x v="4"/>
    <x v="0"/>
    <x v="1"/>
    <x v="5"/>
    <x v="915"/>
    <x v="351"/>
    <x v="754"/>
    <x v="0"/>
  </r>
  <r>
    <x v="227"/>
    <x v="5"/>
    <x v="0"/>
    <x v="1"/>
    <x v="5"/>
    <x v="406"/>
    <x v="152"/>
    <x v="754"/>
    <x v="0"/>
  </r>
  <r>
    <x v="218"/>
    <x v="5"/>
    <x v="0"/>
    <x v="1"/>
    <x v="5"/>
    <x v="916"/>
    <x v="352"/>
    <x v="754"/>
    <x v="0"/>
  </r>
  <r>
    <x v="71"/>
    <x v="5"/>
    <x v="0"/>
    <x v="1"/>
    <x v="5"/>
    <x v="917"/>
    <x v="353"/>
    <x v="754"/>
    <x v="0"/>
  </r>
  <r>
    <x v="734"/>
    <x v="5"/>
    <x v="0"/>
    <x v="1"/>
    <x v="5"/>
    <x v="918"/>
    <x v="354"/>
    <x v="754"/>
    <x v="0"/>
  </r>
  <r>
    <x v="734"/>
    <x v="4"/>
    <x v="0"/>
    <x v="1"/>
    <x v="5"/>
    <x v="910"/>
    <x v="346"/>
    <x v="754"/>
    <x v="0"/>
  </r>
  <r>
    <x v="73"/>
    <x v="4"/>
    <x v="0"/>
    <x v="1"/>
    <x v="5"/>
    <x v="919"/>
    <x v="355"/>
    <x v="754"/>
    <x v="0"/>
  </r>
  <r>
    <x v="735"/>
    <x v="1"/>
    <x v="0"/>
    <x v="1"/>
    <x v="5"/>
    <x v="920"/>
    <x v="356"/>
    <x v="754"/>
    <x v="0"/>
  </r>
  <r>
    <x v="736"/>
    <x v="4"/>
    <x v="0"/>
    <x v="1"/>
    <x v="5"/>
    <x v="571"/>
    <x v="297"/>
    <x v="754"/>
    <x v="0"/>
  </r>
  <r>
    <x v="737"/>
    <x v="0"/>
    <x v="0"/>
    <x v="1"/>
    <x v="5"/>
    <x v="921"/>
    <x v="357"/>
    <x v="754"/>
    <x v="0"/>
  </r>
  <r>
    <x v="111"/>
    <x v="5"/>
    <x v="0"/>
    <x v="1"/>
    <x v="5"/>
    <x v="922"/>
    <x v="358"/>
    <x v="754"/>
    <x v="0"/>
  </r>
  <r>
    <x v="738"/>
    <x v="1"/>
    <x v="0"/>
    <x v="1"/>
    <x v="5"/>
    <x v="923"/>
    <x v="359"/>
    <x v="754"/>
    <x v="0"/>
  </r>
  <r>
    <x v="739"/>
    <x v="5"/>
    <x v="0"/>
    <x v="1"/>
    <x v="5"/>
    <x v="924"/>
    <x v="360"/>
    <x v="754"/>
    <x v="0"/>
  </r>
  <r>
    <x v="740"/>
    <x v="5"/>
    <x v="0"/>
    <x v="1"/>
    <x v="5"/>
    <x v="925"/>
    <x v="361"/>
    <x v="754"/>
    <x v="0"/>
  </r>
  <r>
    <x v="741"/>
    <x v="0"/>
    <x v="0"/>
    <x v="1"/>
    <x v="5"/>
    <x v="553"/>
    <x v="362"/>
    <x v="754"/>
    <x v="0"/>
  </r>
  <r>
    <x v="126"/>
    <x v="1"/>
    <x v="0"/>
    <x v="1"/>
    <x v="5"/>
    <x v="926"/>
    <x v="363"/>
    <x v="754"/>
    <x v="0"/>
  </r>
  <r>
    <x v="25"/>
    <x v="5"/>
    <x v="0"/>
    <x v="1"/>
    <x v="5"/>
    <x v="927"/>
    <x v="364"/>
    <x v="754"/>
    <x v="0"/>
  </r>
  <r>
    <x v="200"/>
    <x v="5"/>
    <x v="0"/>
    <x v="1"/>
    <x v="5"/>
    <x v="928"/>
    <x v="365"/>
    <x v="754"/>
    <x v="0"/>
  </r>
  <r>
    <x v="656"/>
    <x v="1"/>
    <x v="0"/>
    <x v="1"/>
    <x v="5"/>
    <x v="929"/>
    <x v="366"/>
    <x v="754"/>
    <x v="0"/>
  </r>
  <r>
    <x v="666"/>
    <x v="5"/>
    <x v="0"/>
    <x v="1"/>
    <x v="5"/>
    <x v="930"/>
    <x v="367"/>
    <x v="754"/>
    <x v="0"/>
  </r>
  <r>
    <x v="725"/>
    <x v="1"/>
    <x v="0"/>
    <x v="0"/>
    <x v="48"/>
    <x v="931"/>
    <x v="368"/>
    <x v="754"/>
    <x v="0"/>
  </r>
  <r>
    <x v="712"/>
    <x v="1"/>
    <x v="0"/>
    <x v="1"/>
    <x v="5"/>
    <x v="932"/>
    <x v="369"/>
    <x v="754"/>
    <x v="0"/>
  </r>
  <r>
    <x v="721"/>
    <x v="1"/>
    <x v="0"/>
    <x v="1"/>
    <x v="5"/>
    <x v="933"/>
    <x v="370"/>
    <x v="754"/>
    <x v="0"/>
  </r>
  <r>
    <x v="669"/>
    <x v="5"/>
    <x v="0"/>
    <x v="0"/>
    <x v="43"/>
    <x v="934"/>
    <x v="371"/>
    <x v="754"/>
    <x v="0"/>
  </r>
  <r>
    <x v="742"/>
    <x v="1"/>
    <x v="0"/>
    <x v="1"/>
    <x v="5"/>
    <x v="935"/>
    <x v="372"/>
    <x v="754"/>
    <x v="0"/>
  </r>
  <r>
    <x v="729"/>
    <x v="5"/>
    <x v="0"/>
    <x v="1"/>
    <x v="5"/>
    <x v="936"/>
    <x v="373"/>
    <x v="754"/>
    <x v="0"/>
  </r>
  <r>
    <x v="137"/>
    <x v="5"/>
    <x v="0"/>
    <x v="1"/>
    <x v="5"/>
    <x v="937"/>
    <x v="374"/>
    <x v="754"/>
    <x v="0"/>
  </r>
  <r>
    <x v="288"/>
    <x v="5"/>
    <x v="0"/>
    <x v="1"/>
    <x v="5"/>
    <x v="938"/>
    <x v="375"/>
    <x v="754"/>
    <x v="0"/>
  </r>
  <r>
    <x v="712"/>
    <x v="5"/>
    <x v="0"/>
    <x v="1"/>
    <x v="5"/>
    <x v="939"/>
    <x v="376"/>
    <x v="754"/>
    <x v="0"/>
  </r>
  <r>
    <x v="688"/>
    <x v="5"/>
    <x v="0"/>
    <x v="1"/>
    <x v="5"/>
    <x v="940"/>
    <x v="377"/>
    <x v="754"/>
    <x v="0"/>
  </r>
  <r>
    <x v="324"/>
    <x v="5"/>
    <x v="0"/>
    <x v="1"/>
    <x v="5"/>
    <x v="941"/>
    <x v="378"/>
    <x v="754"/>
    <x v="0"/>
  </r>
  <r>
    <x v="34"/>
    <x v="5"/>
    <x v="0"/>
    <x v="0"/>
    <x v="18"/>
    <x v="942"/>
    <x v="379"/>
    <x v="754"/>
    <x v="0"/>
  </r>
  <r>
    <x v="743"/>
    <x v="5"/>
    <x v="0"/>
    <x v="1"/>
    <x v="5"/>
    <x v="943"/>
    <x v="380"/>
    <x v="754"/>
    <x v="0"/>
  </r>
  <r>
    <x v="744"/>
    <x v="1"/>
    <x v="0"/>
    <x v="1"/>
    <x v="5"/>
    <x v="944"/>
    <x v="381"/>
    <x v="754"/>
    <x v="0"/>
  </r>
  <r>
    <x v="92"/>
    <x v="5"/>
    <x v="0"/>
    <x v="1"/>
    <x v="5"/>
    <x v="945"/>
    <x v="382"/>
    <x v="754"/>
    <x v="0"/>
  </r>
  <r>
    <x v="676"/>
    <x v="3"/>
    <x v="0"/>
    <x v="1"/>
    <x v="5"/>
    <x v="946"/>
    <x v="383"/>
    <x v="754"/>
    <x v="0"/>
  </r>
  <r>
    <x v="35"/>
    <x v="5"/>
    <x v="0"/>
    <x v="1"/>
    <x v="5"/>
    <x v="947"/>
    <x v="384"/>
    <x v="754"/>
    <x v="0"/>
  </r>
  <r>
    <x v="691"/>
    <x v="5"/>
    <x v="0"/>
    <x v="1"/>
    <x v="5"/>
    <x v="948"/>
    <x v="385"/>
    <x v="754"/>
    <x v="0"/>
  </r>
  <r>
    <x v="143"/>
    <x v="5"/>
    <x v="0"/>
    <x v="1"/>
    <x v="5"/>
    <x v="949"/>
    <x v="386"/>
    <x v="754"/>
    <x v="0"/>
  </r>
  <r>
    <x v="745"/>
    <x v="5"/>
    <x v="0"/>
    <x v="1"/>
    <x v="5"/>
    <x v="950"/>
    <x v="387"/>
    <x v="754"/>
    <x v="0"/>
  </r>
  <r>
    <x v="705"/>
    <x v="1"/>
    <x v="0"/>
    <x v="1"/>
    <x v="5"/>
    <x v="951"/>
    <x v="388"/>
    <x v="754"/>
    <x v="0"/>
  </r>
  <r>
    <x v="746"/>
    <x v="3"/>
    <x v="0"/>
    <x v="1"/>
    <x v="5"/>
    <x v="652"/>
    <x v="279"/>
    <x v="754"/>
    <x v="0"/>
  </r>
  <r>
    <x v="228"/>
    <x v="4"/>
    <x v="0"/>
    <x v="1"/>
    <x v="5"/>
    <x v="617"/>
    <x v="153"/>
    <x v="754"/>
    <x v="0"/>
  </r>
  <r>
    <x v="21"/>
    <x v="4"/>
    <x v="0"/>
    <x v="0"/>
    <x v="12"/>
    <x v="571"/>
    <x v="297"/>
    <x v="754"/>
    <x v="0"/>
  </r>
  <r>
    <x v="39"/>
    <x v="4"/>
    <x v="0"/>
    <x v="1"/>
    <x v="5"/>
    <x v="952"/>
    <x v="389"/>
    <x v="754"/>
    <x v="0"/>
  </r>
  <r>
    <x v="723"/>
    <x v="5"/>
    <x v="0"/>
    <x v="1"/>
    <x v="5"/>
    <x v="953"/>
    <x v="390"/>
    <x v="754"/>
    <x v="0"/>
  </r>
  <r>
    <x v="34"/>
    <x v="4"/>
    <x v="0"/>
    <x v="0"/>
    <x v="18"/>
    <x v="954"/>
    <x v="391"/>
    <x v="754"/>
    <x v="0"/>
  </r>
  <r>
    <x v="284"/>
    <x v="5"/>
    <x v="0"/>
    <x v="1"/>
    <x v="5"/>
    <x v="955"/>
    <x v="392"/>
    <x v="754"/>
    <x v="0"/>
  </r>
  <r>
    <x v="747"/>
    <x v="4"/>
    <x v="0"/>
    <x v="1"/>
    <x v="5"/>
    <x v="956"/>
    <x v="393"/>
    <x v="754"/>
    <x v="0"/>
  </r>
  <r>
    <x v="52"/>
    <x v="4"/>
    <x v="0"/>
    <x v="1"/>
    <x v="5"/>
    <x v="957"/>
    <x v="394"/>
    <x v="754"/>
    <x v="0"/>
  </r>
  <r>
    <x v="92"/>
    <x v="4"/>
    <x v="0"/>
    <x v="1"/>
    <x v="5"/>
    <x v="958"/>
    <x v="395"/>
    <x v="754"/>
    <x v="0"/>
  </r>
  <r>
    <x v="435"/>
    <x v="1"/>
    <x v="0"/>
    <x v="1"/>
    <x v="5"/>
    <x v="959"/>
    <x v="396"/>
    <x v="754"/>
    <x v="0"/>
  </r>
  <r>
    <x v="649"/>
    <x v="4"/>
    <x v="0"/>
    <x v="1"/>
    <x v="5"/>
    <x v="617"/>
    <x v="153"/>
    <x v="754"/>
    <x v="0"/>
  </r>
  <r>
    <x v="420"/>
    <x v="4"/>
    <x v="0"/>
    <x v="1"/>
    <x v="5"/>
    <x v="617"/>
    <x v="153"/>
    <x v="754"/>
    <x v="0"/>
  </r>
  <r>
    <x v="748"/>
    <x v="4"/>
    <x v="0"/>
    <x v="1"/>
    <x v="5"/>
    <x v="617"/>
    <x v="153"/>
    <x v="754"/>
    <x v="0"/>
  </r>
  <r>
    <x v="749"/>
    <x v="4"/>
    <x v="0"/>
    <x v="1"/>
    <x v="5"/>
    <x v="617"/>
    <x v="153"/>
    <x v="754"/>
    <x v="0"/>
  </r>
  <r>
    <x v="22"/>
    <x v="3"/>
    <x v="0"/>
    <x v="0"/>
    <x v="13"/>
    <x v="652"/>
    <x v="279"/>
    <x v="754"/>
    <x v="0"/>
  </r>
  <r>
    <x v="680"/>
    <x v="3"/>
    <x v="0"/>
    <x v="0"/>
    <x v="44"/>
    <x v="960"/>
    <x v="397"/>
    <x v="754"/>
    <x v="0"/>
  </r>
  <r>
    <x v="29"/>
    <x v="4"/>
    <x v="0"/>
    <x v="1"/>
    <x v="5"/>
    <x v="961"/>
    <x v="398"/>
    <x v="754"/>
    <x v="0"/>
  </r>
  <r>
    <x v="700"/>
    <x v="5"/>
    <x v="0"/>
    <x v="1"/>
    <x v="5"/>
    <x v="962"/>
    <x v="399"/>
    <x v="754"/>
    <x v="0"/>
  </r>
  <r>
    <x v="80"/>
    <x v="4"/>
    <x v="0"/>
    <x v="1"/>
    <x v="5"/>
    <x v="963"/>
    <x v="400"/>
    <x v="754"/>
    <x v="0"/>
  </r>
  <r>
    <x v="750"/>
    <x v="4"/>
    <x v="0"/>
    <x v="1"/>
    <x v="5"/>
    <x v="964"/>
    <x v="401"/>
    <x v="754"/>
    <x v="0"/>
  </r>
  <r>
    <x v="10"/>
    <x v="4"/>
    <x v="0"/>
    <x v="1"/>
    <x v="5"/>
    <x v="965"/>
    <x v="402"/>
    <x v="754"/>
    <x v="0"/>
  </r>
  <r>
    <x v="751"/>
    <x v="0"/>
    <x v="0"/>
    <x v="1"/>
    <x v="5"/>
    <x v="966"/>
    <x v="403"/>
    <x v="754"/>
    <x v="0"/>
  </r>
  <r>
    <x v="124"/>
    <x v="4"/>
    <x v="0"/>
    <x v="1"/>
    <x v="5"/>
    <x v="967"/>
    <x v="404"/>
    <x v="754"/>
    <x v="0"/>
  </r>
  <r>
    <x v="361"/>
    <x v="4"/>
    <x v="0"/>
    <x v="1"/>
    <x v="5"/>
    <x v="571"/>
    <x v="297"/>
    <x v="754"/>
    <x v="0"/>
  </r>
  <r>
    <x v="262"/>
    <x v="5"/>
    <x v="0"/>
    <x v="1"/>
    <x v="5"/>
    <x v="968"/>
    <x v="405"/>
    <x v="754"/>
    <x v="0"/>
  </r>
  <r>
    <x v="47"/>
    <x v="4"/>
    <x v="0"/>
    <x v="1"/>
    <x v="5"/>
    <x v="969"/>
    <x v="406"/>
    <x v="754"/>
    <x v="0"/>
  </r>
  <r>
    <x v="353"/>
    <x v="5"/>
    <x v="0"/>
    <x v="1"/>
    <x v="5"/>
    <x v="970"/>
    <x v="407"/>
    <x v="754"/>
    <x v="0"/>
  </r>
  <r>
    <x v="752"/>
    <x v="3"/>
    <x v="0"/>
    <x v="1"/>
    <x v="5"/>
    <x v="971"/>
    <x v="408"/>
    <x v="754"/>
    <x v="0"/>
  </r>
  <r>
    <x v="68"/>
    <x v="5"/>
    <x v="0"/>
    <x v="1"/>
    <x v="5"/>
    <x v="972"/>
    <x v="409"/>
    <x v="754"/>
    <x v="0"/>
  </r>
  <r>
    <x v="234"/>
    <x v="4"/>
    <x v="0"/>
    <x v="0"/>
    <x v="31"/>
    <x v="617"/>
    <x v="153"/>
    <x v="754"/>
    <x v="0"/>
  </r>
  <r>
    <x v="59"/>
    <x v="5"/>
    <x v="0"/>
    <x v="1"/>
    <x v="5"/>
    <x v="973"/>
    <x v="410"/>
    <x v="754"/>
    <x v="0"/>
  </r>
  <r>
    <x v="753"/>
    <x v="5"/>
    <x v="0"/>
    <x v="1"/>
    <x v="5"/>
    <x v="974"/>
    <x v="411"/>
    <x v="754"/>
    <x v="0"/>
  </r>
  <r>
    <x v="368"/>
    <x v="3"/>
    <x v="0"/>
    <x v="0"/>
    <x v="36"/>
    <x v="975"/>
    <x v="412"/>
    <x v="754"/>
    <x v="0"/>
  </r>
  <r>
    <x v="70"/>
    <x v="5"/>
    <x v="0"/>
    <x v="1"/>
    <x v="5"/>
    <x v="976"/>
    <x v="413"/>
    <x v="754"/>
    <x v="0"/>
  </r>
  <r>
    <x v="754"/>
    <x v="0"/>
    <x v="0"/>
    <x v="1"/>
    <x v="5"/>
    <x v="977"/>
    <x v="414"/>
    <x v="754"/>
    <x v="0"/>
  </r>
  <r>
    <x v="50"/>
    <x v="5"/>
    <x v="0"/>
    <x v="1"/>
    <x v="5"/>
    <x v="978"/>
    <x v="415"/>
    <x v="754"/>
    <x v="0"/>
  </r>
  <r>
    <x v="160"/>
    <x v="4"/>
    <x v="0"/>
    <x v="1"/>
    <x v="5"/>
    <x v="979"/>
    <x v="416"/>
    <x v="754"/>
    <x v="0"/>
  </r>
  <r>
    <x v="755"/>
    <x v="5"/>
    <x v="0"/>
    <x v="1"/>
    <x v="5"/>
    <x v="980"/>
    <x v="417"/>
    <x v="754"/>
    <x v="0"/>
  </r>
  <r>
    <x v="722"/>
    <x v="4"/>
    <x v="0"/>
    <x v="1"/>
    <x v="5"/>
    <x v="571"/>
    <x v="297"/>
    <x v="754"/>
    <x v="0"/>
  </r>
  <r>
    <x v="756"/>
    <x v="5"/>
    <x v="0"/>
    <x v="1"/>
    <x v="5"/>
    <x v="981"/>
    <x v="418"/>
    <x v="754"/>
    <x v="0"/>
  </r>
  <r>
    <x v="55"/>
    <x v="3"/>
    <x v="0"/>
    <x v="1"/>
    <x v="5"/>
    <x v="982"/>
    <x v="419"/>
    <x v="754"/>
    <x v="0"/>
  </r>
  <r>
    <x v="757"/>
    <x v="5"/>
    <x v="0"/>
    <x v="1"/>
    <x v="5"/>
    <x v="983"/>
    <x v="420"/>
    <x v="754"/>
    <x v="0"/>
  </r>
  <r>
    <x v="647"/>
    <x v="4"/>
    <x v="0"/>
    <x v="1"/>
    <x v="5"/>
    <x v="984"/>
    <x v="421"/>
    <x v="754"/>
    <x v="0"/>
  </r>
  <r>
    <x v="740"/>
    <x v="4"/>
    <x v="0"/>
    <x v="1"/>
    <x v="5"/>
    <x v="617"/>
    <x v="153"/>
    <x v="754"/>
    <x v="0"/>
  </r>
  <r>
    <x v="434"/>
    <x v="2"/>
    <x v="0"/>
    <x v="0"/>
    <x v="40"/>
    <x v="985"/>
    <x v="422"/>
    <x v="754"/>
    <x v="0"/>
  </r>
  <r>
    <x v="343"/>
    <x v="4"/>
    <x v="0"/>
    <x v="1"/>
    <x v="5"/>
    <x v="986"/>
    <x v="423"/>
    <x v="754"/>
    <x v="0"/>
  </r>
  <r>
    <x v="58"/>
    <x v="5"/>
    <x v="0"/>
    <x v="1"/>
    <x v="5"/>
    <x v="987"/>
    <x v="424"/>
    <x v="754"/>
    <x v="0"/>
  </r>
  <r>
    <x v="38"/>
    <x v="5"/>
    <x v="0"/>
    <x v="1"/>
    <x v="5"/>
    <x v="988"/>
    <x v="425"/>
    <x v="754"/>
    <x v="0"/>
  </r>
  <r>
    <x v="758"/>
    <x v="5"/>
    <x v="0"/>
    <x v="1"/>
    <x v="5"/>
    <x v="989"/>
    <x v="426"/>
    <x v="754"/>
    <x v="0"/>
  </r>
  <r>
    <x v="181"/>
    <x v="4"/>
    <x v="0"/>
    <x v="1"/>
    <x v="5"/>
    <x v="990"/>
    <x v="427"/>
    <x v="754"/>
    <x v="0"/>
  </r>
  <r>
    <x v="680"/>
    <x v="1"/>
    <x v="0"/>
    <x v="0"/>
    <x v="44"/>
    <x v="991"/>
    <x v="428"/>
    <x v="754"/>
    <x v="0"/>
  </r>
  <r>
    <x v="105"/>
    <x v="4"/>
    <x v="0"/>
    <x v="1"/>
    <x v="5"/>
    <x v="992"/>
    <x v="429"/>
    <x v="754"/>
    <x v="0"/>
  </r>
  <r>
    <x v="209"/>
    <x v="5"/>
    <x v="0"/>
    <x v="1"/>
    <x v="5"/>
    <x v="993"/>
    <x v="430"/>
    <x v="754"/>
    <x v="0"/>
  </r>
  <r>
    <x v="759"/>
    <x v="4"/>
    <x v="0"/>
    <x v="1"/>
    <x v="5"/>
    <x v="617"/>
    <x v="153"/>
    <x v="754"/>
    <x v="0"/>
  </r>
  <r>
    <x v="749"/>
    <x v="5"/>
    <x v="0"/>
    <x v="1"/>
    <x v="5"/>
    <x v="511"/>
    <x v="431"/>
    <x v="754"/>
    <x v="0"/>
  </r>
  <r>
    <x v="59"/>
    <x v="4"/>
    <x v="0"/>
    <x v="1"/>
    <x v="5"/>
    <x v="994"/>
    <x v="432"/>
    <x v="754"/>
    <x v="0"/>
  </r>
  <r>
    <x v="449"/>
    <x v="5"/>
    <x v="0"/>
    <x v="1"/>
    <x v="5"/>
    <x v="995"/>
    <x v="433"/>
    <x v="754"/>
    <x v="0"/>
  </r>
  <r>
    <x v="709"/>
    <x v="4"/>
    <x v="0"/>
    <x v="0"/>
    <x v="46"/>
    <x v="996"/>
    <x v="434"/>
    <x v="754"/>
    <x v="0"/>
  </r>
  <r>
    <x v="760"/>
    <x v="5"/>
    <x v="0"/>
    <x v="1"/>
    <x v="5"/>
    <x v="997"/>
    <x v="435"/>
    <x v="754"/>
    <x v="0"/>
  </r>
  <r>
    <x v="102"/>
    <x v="5"/>
    <x v="0"/>
    <x v="1"/>
    <x v="5"/>
    <x v="998"/>
    <x v="436"/>
    <x v="754"/>
    <x v="0"/>
  </r>
  <r>
    <x v="368"/>
    <x v="5"/>
    <x v="0"/>
    <x v="0"/>
    <x v="36"/>
    <x v="999"/>
    <x v="437"/>
    <x v="754"/>
    <x v="0"/>
  </r>
  <r>
    <x v="331"/>
    <x v="5"/>
    <x v="0"/>
    <x v="1"/>
    <x v="5"/>
    <x v="1000"/>
    <x v="438"/>
    <x v="754"/>
    <x v="0"/>
  </r>
  <r>
    <x v="343"/>
    <x v="5"/>
    <x v="0"/>
    <x v="1"/>
    <x v="5"/>
    <x v="1001"/>
    <x v="439"/>
    <x v="754"/>
    <x v="0"/>
  </r>
  <r>
    <x v="372"/>
    <x v="5"/>
    <x v="0"/>
    <x v="0"/>
    <x v="37"/>
    <x v="1002"/>
    <x v="440"/>
    <x v="754"/>
    <x v="0"/>
  </r>
  <r>
    <x v="694"/>
    <x v="3"/>
    <x v="0"/>
    <x v="0"/>
    <x v="45"/>
    <x v="393"/>
    <x v="441"/>
    <x v="754"/>
    <x v="0"/>
  </r>
  <r>
    <x v="9"/>
    <x v="4"/>
    <x v="0"/>
    <x v="0"/>
    <x v="7"/>
    <x v="571"/>
    <x v="297"/>
    <x v="754"/>
    <x v="0"/>
  </r>
  <r>
    <x v="726"/>
    <x v="4"/>
    <x v="0"/>
    <x v="1"/>
    <x v="5"/>
    <x v="1003"/>
    <x v="442"/>
    <x v="754"/>
    <x v="0"/>
  </r>
  <r>
    <x v="357"/>
    <x v="5"/>
    <x v="0"/>
    <x v="1"/>
    <x v="5"/>
    <x v="1004"/>
    <x v="443"/>
    <x v="754"/>
    <x v="0"/>
  </r>
  <r>
    <x v="243"/>
    <x v="5"/>
    <x v="0"/>
    <x v="1"/>
    <x v="5"/>
    <x v="1005"/>
    <x v="444"/>
    <x v="754"/>
    <x v="0"/>
  </r>
  <r>
    <x v="258"/>
    <x v="4"/>
    <x v="0"/>
    <x v="1"/>
    <x v="5"/>
    <x v="535"/>
    <x v="445"/>
    <x v="754"/>
    <x v="0"/>
  </r>
  <r>
    <x v="338"/>
    <x v="5"/>
    <x v="0"/>
    <x v="1"/>
    <x v="5"/>
    <x v="1006"/>
    <x v="446"/>
    <x v="754"/>
    <x v="0"/>
  </r>
  <r>
    <x v="283"/>
    <x v="3"/>
    <x v="0"/>
    <x v="1"/>
    <x v="5"/>
    <x v="1007"/>
    <x v="447"/>
    <x v="754"/>
    <x v="0"/>
  </r>
  <r>
    <x v="600"/>
    <x v="4"/>
    <x v="0"/>
    <x v="1"/>
    <x v="5"/>
    <x v="1008"/>
    <x v="448"/>
    <x v="754"/>
    <x v="0"/>
  </r>
  <r>
    <x v="725"/>
    <x v="0"/>
    <x v="0"/>
    <x v="0"/>
    <x v="48"/>
    <x v="1009"/>
    <x v="449"/>
    <x v="754"/>
    <x v="0"/>
  </r>
  <r>
    <x v="758"/>
    <x v="1"/>
    <x v="0"/>
    <x v="1"/>
    <x v="5"/>
    <x v="1010"/>
    <x v="450"/>
    <x v="754"/>
    <x v="0"/>
  </r>
  <r>
    <x v="449"/>
    <x v="4"/>
    <x v="0"/>
    <x v="1"/>
    <x v="5"/>
    <x v="535"/>
    <x v="445"/>
    <x v="754"/>
    <x v="0"/>
  </r>
  <r>
    <x v="277"/>
    <x v="4"/>
    <x v="0"/>
    <x v="1"/>
    <x v="5"/>
    <x v="1011"/>
    <x v="451"/>
    <x v="754"/>
    <x v="0"/>
  </r>
  <r>
    <x v="240"/>
    <x v="4"/>
    <x v="0"/>
    <x v="1"/>
    <x v="5"/>
    <x v="535"/>
    <x v="445"/>
    <x v="754"/>
    <x v="0"/>
  </r>
  <r>
    <x v="131"/>
    <x v="4"/>
    <x v="0"/>
    <x v="1"/>
    <x v="5"/>
    <x v="617"/>
    <x v="153"/>
    <x v="754"/>
    <x v="0"/>
  </r>
  <r>
    <x v="51"/>
    <x v="4"/>
    <x v="0"/>
    <x v="1"/>
    <x v="5"/>
    <x v="1012"/>
    <x v="452"/>
    <x v="754"/>
    <x v="0"/>
  </r>
  <r>
    <x v="80"/>
    <x v="5"/>
    <x v="0"/>
    <x v="1"/>
    <x v="5"/>
    <x v="1013"/>
    <x v="453"/>
    <x v="754"/>
    <x v="0"/>
  </r>
  <r>
    <x v="708"/>
    <x v="5"/>
    <x v="0"/>
    <x v="1"/>
    <x v="5"/>
    <x v="1014"/>
    <x v="454"/>
    <x v="754"/>
    <x v="0"/>
  </r>
  <r>
    <x v="41"/>
    <x v="5"/>
    <x v="0"/>
    <x v="1"/>
    <x v="5"/>
    <x v="1015"/>
    <x v="455"/>
    <x v="754"/>
    <x v="0"/>
  </r>
  <r>
    <x v="407"/>
    <x v="1"/>
    <x v="0"/>
    <x v="1"/>
    <x v="5"/>
    <x v="1016"/>
    <x v="456"/>
    <x v="754"/>
    <x v="0"/>
  </r>
  <r>
    <x v="181"/>
    <x v="5"/>
    <x v="0"/>
    <x v="1"/>
    <x v="5"/>
    <x v="1017"/>
    <x v="457"/>
    <x v="754"/>
    <x v="0"/>
  </r>
  <r>
    <x v="69"/>
    <x v="5"/>
    <x v="0"/>
    <x v="1"/>
    <x v="5"/>
    <x v="1018"/>
    <x v="458"/>
    <x v="754"/>
    <x v="0"/>
  </r>
  <r>
    <x v="211"/>
    <x v="4"/>
    <x v="0"/>
    <x v="1"/>
    <x v="5"/>
    <x v="548"/>
    <x v="459"/>
    <x v="754"/>
    <x v="0"/>
  </r>
  <r>
    <x v="229"/>
    <x v="4"/>
    <x v="0"/>
    <x v="1"/>
    <x v="5"/>
    <x v="1019"/>
    <x v="460"/>
    <x v="754"/>
    <x v="0"/>
  </r>
  <r>
    <x v="13"/>
    <x v="4"/>
    <x v="0"/>
    <x v="0"/>
    <x v="9"/>
    <x v="730"/>
    <x v="159"/>
    <x v="754"/>
    <x v="0"/>
  </r>
  <r>
    <x v="241"/>
    <x v="5"/>
    <x v="0"/>
    <x v="1"/>
    <x v="5"/>
    <x v="1020"/>
    <x v="461"/>
    <x v="754"/>
    <x v="0"/>
  </r>
  <r>
    <x v="106"/>
    <x v="5"/>
    <x v="0"/>
    <x v="1"/>
    <x v="5"/>
    <x v="1021"/>
    <x v="462"/>
    <x v="754"/>
    <x v="0"/>
  </r>
  <r>
    <x v="761"/>
    <x v="3"/>
    <x v="0"/>
    <x v="0"/>
    <x v="49"/>
    <x v="1022"/>
    <x v="463"/>
    <x v="754"/>
    <x v="0"/>
  </r>
  <r>
    <x v="426"/>
    <x v="4"/>
    <x v="0"/>
    <x v="1"/>
    <x v="5"/>
    <x v="617"/>
    <x v="153"/>
    <x v="754"/>
    <x v="0"/>
  </r>
  <r>
    <x v="701"/>
    <x v="4"/>
    <x v="0"/>
    <x v="1"/>
    <x v="5"/>
    <x v="617"/>
    <x v="153"/>
    <x v="754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数据透视表3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compactData="0" showDrill="1" multipleFieldFilters="0">
  <location ref="A3:E5" firstHeaderRow="0" firstDataRow="1" firstDataCol="2"/>
  <pivotFields count="9">
    <pivotField axis="axisRow" compact="0" defaultSubtotal="0" outline="0" multipleItemSelectionAllowed="1" showAll="0">
      <items count="763">
        <item h="1" x="468"/>
        <item h="1" x="316"/>
        <item h="1" x="363"/>
        <item h="1" x="22"/>
        <item h="1" x="280"/>
        <item h="1" x="342"/>
        <item h="1" x="57"/>
        <item h="1" x="646"/>
        <item h="1" x="234"/>
        <item h="1" x="317"/>
        <item h="1" x="612"/>
        <item h="1" x="594"/>
        <item h="1" x="89"/>
        <item h="1" x="597"/>
        <item h="1" x="666"/>
        <item h="1" x="333"/>
        <item h="1" x="613"/>
        <item h="1" x="605"/>
        <item h="1" x="654"/>
        <item h="1" x="304"/>
        <item h="1" x="164"/>
        <item h="1" x="447"/>
        <item h="1" x="140"/>
        <item h="1" x="153"/>
        <item h="1" x="101"/>
        <item h="1" x="414"/>
        <item h="1" x="466"/>
        <item h="1" x="301"/>
        <item h="1" x="423"/>
        <item h="1" x="540"/>
        <item h="1" x="433"/>
        <item h="1" x="724"/>
        <item h="1" x="734"/>
        <item h="1" x="90"/>
        <item h="1" x="670"/>
        <item h="1" x="307"/>
        <item h="1" x="418"/>
        <item h="1" x="74"/>
        <item h="1" x="589"/>
        <item h="1" x="287"/>
        <item h="1" x="709"/>
        <item h="1" x="176"/>
        <item h="1" x="450"/>
        <item h="1" x="328"/>
        <item h="1" x="75"/>
        <item h="1" x="655"/>
        <item h="1" x="562"/>
        <item h="1" x="278"/>
        <item h="1" x="558"/>
        <item h="1" x="385"/>
        <item h="1" x="665"/>
        <item h="1" x="163"/>
        <item h="1" x="425"/>
        <item h="1" x="398"/>
        <item h="1" x="273"/>
        <item h="1" x="104"/>
        <item h="1" x="272"/>
        <item h="1" x="259"/>
        <item h="1" x="226"/>
        <item h="1" x="299"/>
        <item h="1" x="219"/>
        <item h="1" x="344"/>
        <item h="1" x="731"/>
        <item h="1" x="309"/>
        <item h="1" x="679"/>
        <item h="1" x="374"/>
        <item h="1" x="210"/>
        <item h="1" x="131"/>
        <item h="1" x="264"/>
        <item h="1" x="730"/>
        <item h="1" x="449"/>
        <item h="1" x="748"/>
        <item h="1" x="349"/>
        <item h="1" x="746"/>
        <item h="1" x="269"/>
        <item h="1" x="563"/>
        <item h="1" x="227"/>
        <item h="1" x="382"/>
        <item h="1" x="17"/>
        <item h="1" x="367"/>
        <item h="1" x="165"/>
        <item h="1" x="258"/>
        <item h="1" x="5"/>
        <item h="1" x="116"/>
        <item h="1" x="148"/>
        <item h="1" x="11"/>
        <item h="1" x="321"/>
        <item h="1" x="209"/>
        <item h="1" x="185"/>
        <item h="1" x="749"/>
        <item h="1" x="737"/>
        <item h="1" x="162"/>
        <item h="1" x="121"/>
        <item h="1" x="19"/>
        <item h="1" x="475"/>
        <item h="1" x="187"/>
        <item h="1" x="225"/>
        <item h="1" x="685"/>
        <item h="1" x="428"/>
        <item h="1" x="755"/>
        <item h="1" x="223"/>
        <item h="1" x="717"/>
        <item h="1" x="86"/>
        <item h="1" x="158"/>
        <item h="1" x="147"/>
        <item h="1" x="692"/>
        <item h="1" x="635"/>
        <item h="1" x="62"/>
        <item h="1" x="168"/>
        <item h="1" x="228"/>
        <item h="1" x="284"/>
        <item h="1" x="283"/>
        <item h="1" x="673"/>
        <item h="1" x="681"/>
        <item h="1" x="173"/>
        <item h="1" x="150"/>
        <item h="1" x="675"/>
        <item h="1" x="79"/>
        <item h="1" x="353"/>
        <item h="1" x="56"/>
        <item h="1" x="122"/>
        <item h="1" x="348"/>
        <item h="1" x="178"/>
        <item h="1" x="129"/>
        <item h="1" x="199"/>
        <item h="1" x="633"/>
        <item h="1" x="739"/>
        <item h="1" x="318"/>
        <item h="1" x="711"/>
        <item h="1" x="686"/>
        <item h="1" x="690"/>
        <item h="1" x="747"/>
        <item h="1" x="216"/>
        <item h="1" x="361"/>
        <item h="1" x="186"/>
        <item h="1" x="72"/>
        <item h="1" x="93"/>
        <item h="1" x="184"/>
        <item h="1" x="83"/>
        <item h="1" x="156"/>
        <item h="1" x="189"/>
        <item h="1" x="331"/>
        <item h="1" x="682"/>
        <item h="1" x="757"/>
        <item h="1" x="351"/>
        <item h="1" x="141"/>
        <item h="1" x="91"/>
        <item h="1" x="420"/>
        <item h="1" x="67"/>
        <item h="1" x="34"/>
        <item h="1" x="368"/>
        <item h="1" x="262"/>
        <item h="1" x="604"/>
        <item h="1" x="745"/>
        <item h="1" x="310"/>
        <item h="1" x="293"/>
        <item h="1" x="82"/>
        <item h="1" x="218"/>
        <item h="1" x="719"/>
        <item h="1" x="631"/>
        <item h="1" x="26"/>
        <item h="1" x="335"/>
        <item h="1" x="648"/>
        <item h="1" x="65"/>
        <item h="1" x="8"/>
        <item h="1" x="664"/>
        <item h="1" x="497"/>
        <item h="1" x="570"/>
        <item h="1" x="241"/>
        <item h="1" x="6"/>
        <item h="1" x="25"/>
        <item h="1" x="135"/>
        <item h="1" x="32"/>
        <item h="1" x="649"/>
        <item h="1" x="651"/>
        <item h="1" x="97"/>
        <item h="1" x="689"/>
        <item h="1" x="106"/>
        <item h="1" x="732"/>
        <item h="1" x="678"/>
        <item h="1" x="391"/>
        <item h="1" x="683"/>
        <item h="1" x="704"/>
        <item h="1" x="144"/>
        <item h="1" x="617"/>
        <item h="1" x="750"/>
        <item h="1" x="721"/>
        <item h="1" x="214"/>
        <item h="1" x="51"/>
        <item h="1" x="44"/>
        <item h="1" x="638"/>
        <item h="1" x="639"/>
        <item h="1" x="571"/>
        <item h="1" x="261"/>
        <item h="1" x="453"/>
        <item h="1" x="454"/>
        <item h="1" x="585"/>
        <item h="1" x="201"/>
        <item h="1" x="251"/>
        <item h="1" x="213"/>
        <item h="1" x="660"/>
        <item h="1" x="647"/>
        <item h="1" x="671"/>
        <item h="1" x="384"/>
        <item h="1" x="379"/>
        <item h="1" x="324"/>
        <item h="1" x="128"/>
        <item h="1" x="154"/>
        <item h="1" x="593"/>
        <item h="1" x="618"/>
        <item h="1" x="49"/>
        <item h="1" x="170"/>
        <item h="1" x="622"/>
        <item h="1" x="476"/>
        <item h="1" x="620"/>
        <item h="1" x="29"/>
        <item h="1" x="110"/>
        <item h="1" x="134"/>
        <item h="1" x="238"/>
        <item h="1" x="718"/>
        <item h="1" x="149"/>
        <item h="1" x="713"/>
        <item h="1" x="42"/>
        <item h="1" x="60"/>
        <item h="1" x="720"/>
        <item h="1" x="266"/>
        <item h="1" x="66"/>
        <item h="1" x="204"/>
        <item h="1" x="167"/>
        <item h="1" x="268"/>
        <item h="1" x="339"/>
        <item h="1" x="615"/>
        <item h="1" x="78"/>
        <item h="1" x="350"/>
        <item h="1" x="684"/>
        <item h="1" x="55"/>
        <item h="1" x="619"/>
        <item h="1" x="471"/>
        <item h="1" x="15"/>
        <item h="1" x="24"/>
        <item h="1" x="448"/>
        <item h="1" x="628"/>
        <item h="1" x="103"/>
        <item h="1" x="573"/>
        <item h="1" x="566"/>
        <item h="1" x="27"/>
        <item h="1" x="130"/>
        <item h="1" x="179"/>
        <item h="1" x="564"/>
        <item h="1" x="39"/>
        <item h="1" x="87"/>
        <item h="1" x="758"/>
        <item h="1" x="567"/>
        <item h="1" x="127"/>
        <item h="1" x="40"/>
        <item h="1" x="452"/>
        <item h="1" x="257"/>
        <item h="1" x="92"/>
        <item h="1" x="626"/>
        <item h="1" x="248"/>
        <item h="1" x="716"/>
        <item h="1" x="71"/>
        <item h="1" x="217"/>
        <item h="1" x="460"/>
        <item h="1" x="59"/>
        <item h="1" x="356"/>
        <item h="1" x="417"/>
        <item h="1" x="58"/>
        <item h="1" x="124"/>
        <item h="1" x="456"/>
        <item h="1" x="229"/>
        <item h="1" x="190"/>
        <item h="1" x="295"/>
        <item h="1" x="432"/>
        <item h="1" x="394"/>
        <item h="1" x="212"/>
        <item h="1" x="102"/>
        <item h="1" x="285"/>
        <item h="1" x="195"/>
        <item h="1" x="23"/>
        <item h="1" x="155"/>
        <item h="1" x="48"/>
        <item h="1" x="320"/>
        <item h="1" x="95"/>
        <item h="1" x="169"/>
        <item h="1" x="314"/>
        <item h="1" x="109"/>
        <item h="1" x="404"/>
        <item h="1" x="588"/>
        <item h="1" x="308"/>
        <item h="1" x="291"/>
        <item h="1" x="279"/>
        <item h="1" x="46"/>
        <item h="1" x="582"/>
        <item h="1" x="126"/>
        <item h="1" x="54"/>
        <item h="1" x="70"/>
        <item h="1" x="413"/>
        <item h="1" x="311"/>
        <item h="1" x="85"/>
        <item h="1" x="345"/>
        <item h="1" x="369"/>
        <item h="1" x="607"/>
        <item h="1" x="630"/>
        <item h="1" x="132"/>
        <item h="1" x="244"/>
        <item h="1" x="645"/>
        <item h="1" x="197"/>
        <item h="1" x="583"/>
        <item h="1" x="580"/>
        <item h="1" x="50"/>
        <item h="1" x="77"/>
        <item h="1" x="357"/>
        <item h="1" x="288"/>
        <item h="1" x="446"/>
        <item h="1" x="621"/>
        <item h="1" x="643"/>
        <item h="1" x="637"/>
        <item h="1" x="125"/>
        <item h="1" x="84"/>
        <item h="1" x="440"/>
        <item h="1" x="192"/>
        <item h="1" x="61"/>
        <item h="1" x="198"/>
        <item h="1" x="35"/>
        <item h="1" x="282"/>
        <item h="1" x="174"/>
        <item h="1" x="698"/>
        <item h="1" x="105"/>
        <item h="1" x="69"/>
        <item h="1" x="752"/>
        <item h="1" x="239"/>
        <item h="1" x="627"/>
        <item h="1" x="559"/>
        <item h="1" x="80"/>
        <item h="1" x="459"/>
        <item h="1" x="172"/>
        <item h="1" x="572"/>
        <item h="1" x="565"/>
        <item h="1" x="376"/>
        <item h="1" x="313"/>
        <item h="1" x="43"/>
        <item h="1" x="220"/>
        <item h="1" x="14"/>
        <item h="1" x="581"/>
        <item h="1" x="355"/>
        <item h="1" x="644"/>
        <item h="1" x="416"/>
        <item h="1" x="371"/>
        <item h="1" x="616"/>
        <item h="1" x="595"/>
        <item h="1" x="271"/>
        <item h="1" x="712"/>
        <item h="1" x="100"/>
        <item h="1" x="403"/>
        <item h="1" x="625"/>
        <item h="1" x="455"/>
        <item h="1" x="47"/>
        <item h="1" x="574"/>
        <item h="1" x="568"/>
        <item h="1" x="112"/>
        <item h="1" x="434"/>
        <item h="1" x="738"/>
        <item h="1" x="441"/>
        <item h="1" x="699"/>
        <item h="1" x="677"/>
        <item h="1" x="181"/>
        <item h="1" x="632"/>
        <item h="1" x="73"/>
        <item h="1" x="119"/>
        <item h="1" x="88"/>
        <item h="1" x="381"/>
        <item h="1" x="608"/>
        <item h="1" x="474"/>
        <item h="1" x="243"/>
        <item h="1" x="725"/>
        <item h="1" x="52"/>
        <item h="1" x="586"/>
        <item h="1" x="256"/>
        <item h="1" x="396"/>
        <item h="1" x="642"/>
        <item h="1" x="470"/>
        <item h="1" x="276"/>
        <item h="1" x="429"/>
        <item h="1" x="281"/>
        <item h="1" x="115"/>
        <item h="1" x="614"/>
        <item h="1" x="222"/>
        <item h="1" x="761"/>
        <item h="1" x="700"/>
        <item h="1" x="193"/>
        <item h="1" x="208"/>
        <item h="1" x="458"/>
        <item h="1" x="473"/>
        <item h="1" x="143"/>
        <item h="1" x="687"/>
        <item h="1" x="569"/>
        <item h="1" x="260"/>
        <item h="1" x="578"/>
        <item h="1" x="53"/>
        <item h="1" x="111"/>
        <item h="1" x="584"/>
        <item h="1" x="230"/>
        <item h="1" x="138"/>
        <item h="1" x="388"/>
        <item h="1" x="41"/>
        <item h="1" x="688"/>
        <item h="1" x="76"/>
        <item h="1" x="576"/>
        <item h="1" x="107"/>
        <item h="1" x="445"/>
        <item h="1" x="499"/>
        <item h="1" x="160"/>
        <item h="1" x="395"/>
        <item h="1" x="166"/>
        <item h="1" x="702"/>
        <item h="1" x="733"/>
        <item h="1" x="599"/>
        <item h="1" x="182"/>
        <item h="1" x="672"/>
        <item h="1" x="723"/>
        <item h="1" x="400"/>
        <item h="1" x="696"/>
        <item h="1" x="634"/>
        <item h="1" x="415"/>
        <item h="1" x="744"/>
        <item h="1" x="99"/>
        <item h="1" x="579"/>
        <item h="1" x="610"/>
        <item h="1" x="641"/>
        <item h="1" x="624"/>
        <item h="1" x="290"/>
        <item h="1" x="658"/>
        <item h="1" x="221"/>
        <item h="1" x="438"/>
        <item h="1" x="601"/>
        <item h="1" x="252"/>
        <item h="1" x="598"/>
        <item h="1" x="196"/>
        <item h="1" x="705"/>
        <item h="1" x="340"/>
        <item h="1" x="741"/>
        <item h="1" x="760"/>
        <item h="1" x="609"/>
        <item h="1" x="742"/>
        <item h="1" x="364"/>
        <item h="1" x="463"/>
        <item h="1" x="487"/>
        <item h="1" x="237"/>
        <item h="1" x="327"/>
        <item h="1" x="372"/>
        <item h="1" x="397"/>
        <item h="1" x="424"/>
        <item h="1" x="715"/>
        <item h="1" x="726"/>
        <item h="1" x="294"/>
        <item h="1" x="120"/>
        <item h="1" x="508"/>
        <item h="1" x="289"/>
        <item h="1" x="464"/>
        <item h="1" x="254"/>
        <item h="1" x="18"/>
        <item h="1" x="203"/>
        <item h="1" x="611"/>
        <item h="1" x="370"/>
        <item h="1" x="28"/>
        <item h="1" x="94"/>
        <item h="1" x="427"/>
        <item h="1" x="555"/>
        <item h="1" x="469"/>
        <item h="1" x="735"/>
        <item h="1" x="114"/>
        <item h="1" x="375"/>
        <item h="1" x="211"/>
        <item h="1" x="751"/>
        <item h="1" x="484"/>
        <item h="1" x="338"/>
        <item h="1" x="108"/>
        <item h="1" x="756"/>
        <item h="1" x="680"/>
        <item h="1" x="500"/>
        <item h="1" x="4"/>
        <item h="1" x="352"/>
        <item h="1" x="390"/>
        <item h="1" x="358"/>
        <item h="1" x="177"/>
        <item h="1" x="263"/>
        <item h="1" x="662"/>
        <item h="1" x="442"/>
        <item h="1" x="480"/>
        <item h="1" x="740"/>
        <item h="1" x="462"/>
        <item h="1" x="3"/>
        <item h="1" x="539"/>
        <item h="1" x="706"/>
        <item h="1" x="759"/>
        <item h="1" x="551"/>
        <item h="1" x="430"/>
        <item h="1" x="592"/>
        <item h="1" x="531"/>
        <item h="1" x="151"/>
        <item h="1" x="493"/>
        <item h="1" x="516"/>
        <item h="1" x="543"/>
        <item h="1" x="494"/>
        <item h="1" x="509"/>
        <item h="1" x="541"/>
        <item h="1" x="435"/>
        <item h="1" x="544"/>
        <item h="1" x="546"/>
        <item h="1" x="457"/>
        <item h="1" x="305"/>
        <item h="1" x="341"/>
        <item h="1" x="439"/>
        <item h="1" x="528"/>
        <item h="1" x="693"/>
        <item h="1" x="1"/>
        <item h="1" x="636"/>
        <item h="1" x="306"/>
        <item h="1" x="548"/>
        <item h="1" x="697"/>
        <item h="1" x="515"/>
        <item h="1" x="707"/>
        <item h="1" x="535"/>
        <item h="1" x="16"/>
        <item h="1" x="602"/>
        <item h="1" x="701"/>
        <item h="1" x="183"/>
        <item h="1" x="506"/>
        <item h="1" x="492"/>
        <item h="1" x="503"/>
        <item h="1" x="472"/>
        <item h="1" x="188"/>
        <item h="1" x="518"/>
        <item h="1" x="329"/>
        <item h="1" x="489"/>
        <item h="1" x="461"/>
        <item h="1" x="529"/>
        <item h="1" x="513"/>
        <item h="1" x="2"/>
        <item h="1" x="161"/>
        <item h="1" x="245"/>
        <item h="1" x="482"/>
        <item h="1" x="180"/>
        <item h="1" x="343"/>
        <item h="1" x="13"/>
        <item h="1" x="659"/>
        <item h="1" x="142"/>
        <item h="1" x="408"/>
        <item h="1" x="694"/>
        <item h="1" x="319"/>
        <item h="1" x="504"/>
        <item h="1" x="412"/>
        <item h="1" x="532"/>
        <item h="1" x="336"/>
        <item h="1" x="118"/>
        <item h="1" x="488"/>
        <item h="1" x="554"/>
        <item h="1" x="511"/>
        <item h="1" x="553"/>
        <item h="1" x="656"/>
        <item h="1" x="674"/>
        <item h="1" x="330"/>
        <item h="1" x="629"/>
        <item h="1" x="136"/>
        <item h="1" x="9"/>
        <item h="1" x="68"/>
        <item h="1" x="334"/>
        <item h="1" x="526"/>
        <item h="1" x="728"/>
        <item h="1" x="37"/>
        <item h="1" x="547"/>
        <item h="1" x="534"/>
        <item h="1" x="478"/>
        <item h="1" x="325"/>
        <item h="1" x="669"/>
        <item h="1" x="240"/>
        <item h="1" x="159"/>
        <item h="1" x="577"/>
        <item h="1" x="557"/>
        <item h="1" x="536"/>
        <item h="1" x="303"/>
        <item h="1" x="171"/>
        <item h="1" x="729"/>
        <item h="1" x="657"/>
        <item h="1" x="603"/>
        <item h="1" x="542"/>
        <item h="1" x="510"/>
        <item h="1" x="406"/>
        <item h="1" x="591"/>
        <item h="1" x="265"/>
        <item h="1" x="402"/>
        <item h="1" x="537"/>
        <item h="1" x="485"/>
        <item h="1" x="505"/>
        <item h="1" x="292"/>
        <item h="1" x="133"/>
        <item h="1" x="270"/>
        <item h="1" x="298"/>
        <item h="1" x="7"/>
        <item h="1" x="277"/>
        <item h="1" x="483"/>
        <item h="1" x="465"/>
        <item h="1" x="137"/>
        <item h="1" x="10"/>
        <item h="1" x="708"/>
        <item h="1" x="477"/>
        <item h="1" x="359"/>
        <item h="1" x="512"/>
        <item h="1" x="661"/>
        <item h="1" x="533"/>
        <item h="1" x="502"/>
        <item h="1" x="255"/>
        <item h="1" x="527"/>
        <item h="1" x="300"/>
        <item h="1" x="549"/>
        <item h="1" x="530"/>
        <item h="1" x="347"/>
        <item h="1" x="736"/>
        <item h="1" x="486"/>
        <item h="1" x="152"/>
        <item h="1" x="521"/>
        <item h="1" x="312"/>
        <item h="1" x="695"/>
        <item h="1" x="467"/>
        <item h="1" x="496"/>
        <item h="1" x="242"/>
        <item h="1" x="525"/>
        <item h="1" x="337"/>
        <item h="1" x="191"/>
        <item h="1" x="667"/>
        <item h="1" x="246"/>
        <item h="1" x="743"/>
        <item h="1" x="206"/>
        <item h="1" x="754"/>
        <item h="1" x="422"/>
        <item h="1" x="600"/>
        <item h="1" x="236"/>
        <item h="1" x="538"/>
        <item h="1" x="386"/>
        <item h="1" x="366"/>
        <item h="1" x="231"/>
        <item h="1" x="323"/>
        <item h="1" x="623"/>
        <item h="1" x="491"/>
        <item h="1" x="215"/>
        <item h="1" x="495"/>
        <item h="1" x="524"/>
        <item h="1" x="202"/>
        <item h="1" x="332"/>
        <item h="1" x="550"/>
        <item h="1" x="552"/>
        <item h="1" x="380"/>
        <item h="1" x="205"/>
        <item h="1" x="346"/>
        <item h="1" x="250"/>
        <item h="1" x="401"/>
        <item h="1" x="387"/>
        <item h="1" x="253"/>
        <item h="1" x="710"/>
        <item h="1" x="411"/>
        <item h="1" x="590"/>
        <item h="1" x="596"/>
        <item h="1" x="30"/>
        <item h="1" x="297"/>
        <item h="1" x="498"/>
        <item h="1" x="207"/>
        <item h="1" x="668"/>
        <item h="1" x="392"/>
        <item h="1" x="481"/>
        <item h="1" x="117"/>
        <item h="1" x="437"/>
        <item h="1" x="405"/>
        <item h="1" x="409"/>
        <item h="1" x="399"/>
        <item h="1" x="274"/>
        <item h="1" x="365"/>
        <item h="1" x="522"/>
        <item h="1" x="157"/>
        <item h="1" x="520"/>
        <item h="1" x="443"/>
        <item h="1" x="235"/>
        <item h="1" x="407"/>
        <item h="1" x="36"/>
        <item h="1" x="175"/>
        <item h="1" x="501"/>
        <item h="1" x="247"/>
        <item h="1" x="373"/>
        <item h="1" x="714"/>
        <item h="1" x="410"/>
        <item h="1" x="507"/>
        <item h="1" x="517"/>
        <item h="1" x="431"/>
        <item h="1" x="232"/>
        <item h="1" x="31"/>
        <item h="1" x="383"/>
        <item h="1" x="354"/>
        <item h="1" x="233"/>
        <item h="1" x="12"/>
        <item h="1" x="145"/>
        <item h="1" x="249"/>
        <item h="1" x="296"/>
        <item h="1" x="444"/>
        <item h="1" x="753"/>
        <item h="1" x="96"/>
        <item h="1" x="224"/>
        <item h="1" x="267"/>
        <item h="1" x="362"/>
        <item h="1" x="21"/>
        <item h="1" x="378"/>
        <item h="1" x="575"/>
        <item h="1" x="640"/>
        <item h="1" x="33"/>
        <item h="1" x="514"/>
        <item h="1" x="545"/>
        <item h="1" x="650"/>
        <item h="1" x="326"/>
        <item h="1" x="123"/>
        <item h="1" x="560"/>
        <item h="1" x="302"/>
        <item h="1" x="556"/>
        <item h="1" x="315"/>
        <item h="1" x="419"/>
        <item h="1" x="146"/>
        <item h="1" x="389"/>
        <item h="1" x="691"/>
        <item h="1" x="722"/>
        <item h="1" x="200"/>
        <item h="1" x="663"/>
        <item h="1" x="113"/>
        <item h="1" x="653"/>
        <item h="1" x="451"/>
        <item h="1" x="98"/>
        <item h="1" x="64"/>
        <item h="1" x="606"/>
        <item h="1" x="676"/>
        <item h="1" x="727"/>
        <item h="1" x="479"/>
        <item h="1" x="286"/>
        <item h="1" x="519"/>
        <item h="1" x="703"/>
        <item h="1" x="561"/>
        <item h="1" x="377"/>
        <item h="1" x="587"/>
        <item h="1" x="421"/>
        <item h="1" x="81"/>
        <item h="1" x="38"/>
        <item h="1" x="322"/>
        <item h="1" x="523"/>
        <item h="1" x="490"/>
        <item h="1" x="194"/>
        <item h="1" x="45"/>
        <item h="1" x="393"/>
        <item h="1" x="20"/>
        <item h="1" x="139"/>
        <item h="1" x="436"/>
        <item h="1" x="652"/>
        <item h="1" x="360"/>
        <item h="1" x="63"/>
        <item h="1" x="426"/>
        <item h="1" x="275"/>
        <item x="0"/>
        <item h="1" m="1" x="76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6">
        <item x="2"/>
        <item x="0"/>
        <item x="3"/>
        <item x="4"/>
        <item x="5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1"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items count="2">
        <item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defaultSubtotal="0" outline="0" multipleItemSelectionAllowed="1" showAll="0">
      <items count="50">
        <item x="9"/>
        <item x="33"/>
        <item x="22"/>
        <item x="44"/>
        <item x="15"/>
        <item x="1"/>
        <item x="40"/>
        <item x="3"/>
        <item x="12"/>
        <item x="14"/>
        <item x="11"/>
        <item x="18"/>
        <item x="21"/>
        <item x="13"/>
        <item x="41"/>
        <item x="28"/>
        <item x="35"/>
        <item x="37"/>
        <item x="49"/>
        <item x="45"/>
        <item x="2"/>
        <item x="4"/>
        <item x="26"/>
        <item x="8"/>
        <item x="16"/>
        <item x="19"/>
        <item x="46"/>
        <item x="48"/>
        <item x="0"/>
        <item x="20"/>
        <item x="6"/>
        <item x="32"/>
        <item x="31"/>
        <item x="7"/>
        <item x="42"/>
        <item x="39"/>
        <item x="43"/>
        <item x="30"/>
        <item x="17"/>
        <item x="34"/>
        <item x="10"/>
        <item x="38"/>
        <item x="24"/>
        <item x="29"/>
        <item x="25"/>
        <item x="47"/>
        <item x="27"/>
        <item x="36"/>
        <item x="23"/>
        <item h="1"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1023">
        <item x="723"/>
        <item x="895"/>
        <item x="809"/>
        <item x="722"/>
        <item x="721"/>
        <item x="720"/>
        <item x="719"/>
        <item x="718"/>
        <item x="717"/>
        <item x="716"/>
        <item x="715"/>
        <item x="907"/>
        <item x="714"/>
        <item x="713"/>
        <item x="712"/>
        <item x="711"/>
        <item x="710"/>
        <item x="709"/>
        <item x="708"/>
        <item x="707"/>
        <item x="1008"/>
        <item x="706"/>
        <item x="979"/>
        <item x="971"/>
        <item x="761"/>
        <item x="704"/>
        <item x="703"/>
        <item x="702"/>
        <item x="701"/>
        <item x="700"/>
        <item x="1003"/>
        <item x="873"/>
        <item x="699"/>
        <item x="966"/>
        <item x="1022"/>
        <item x="946"/>
        <item x="698"/>
        <item x="697"/>
        <item x="696"/>
        <item x="695"/>
        <item x="724"/>
        <item x="694"/>
        <item x="693"/>
        <item x="692"/>
        <item x="867"/>
        <item x="691"/>
        <item x="689"/>
        <item x="688"/>
        <item x="687"/>
        <item x="686"/>
        <item x="685"/>
        <item x="684"/>
        <item x="683"/>
        <item x="682"/>
        <item x="803"/>
        <item x="1018"/>
        <item x="681"/>
        <item x="680"/>
        <item x="1020"/>
        <item x="864"/>
        <item x="679"/>
        <item x="678"/>
        <item x="675"/>
        <item x="857"/>
        <item x="674"/>
        <item x="992"/>
        <item x="673"/>
        <item x="776"/>
        <item x="672"/>
        <item x="670"/>
        <item x="904"/>
        <item x="669"/>
        <item x="913"/>
        <item x="668"/>
        <item x="667"/>
        <item x="666"/>
        <item x="665"/>
        <item x="959"/>
        <item x="664"/>
        <item x="663"/>
        <item x="662"/>
        <item x="868"/>
        <item x="661"/>
        <item x="660"/>
        <item x="915"/>
        <item x="659"/>
        <item x="658"/>
        <item x="821"/>
        <item x="657"/>
        <item x="655"/>
        <item x="654"/>
        <item x="827"/>
        <item x="891"/>
        <item x="652"/>
        <item x="824"/>
        <item x="850"/>
        <item x="651"/>
        <item x="653"/>
        <item x="650"/>
        <item x="649"/>
        <item x="648"/>
        <item x="811"/>
        <item x="647"/>
        <item x="646"/>
        <item x="984"/>
        <item x="645"/>
        <item x="643"/>
        <item x="952"/>
        <item x="816"/>
        <item x="642"/>
        <item x="641"/>
        <item x="787"/>
        <item x="640"/>
        <item x="639"/>
        <item x="638"/>
        <item x="637"/>
        <item x="636"/>
        <item x="635"/>
        <item x="634"/>
        <item x="1016"/>
        <item x="632"/>
        <item x="631"/>
        <item x="630"/>
        <item x="887"/>
        <item x="890"/>
        <item x="629"/>
        <item x="628"/>
        <item x="627"/>
        <item x="626"/>
        <item x="624"/>
        <item x="1010"/>
        <item x="623"/>
        <item x="622"/>
        <item x="621"/>
        <item x="902"/>
        <item x="620"/>
        <item x="982"/>
        <item x="731"/>
        <item x="618"/>
        <item x="617"/>
        <item x="616"/>
        <item x="615"/>
        <item x="614"/>
        <item x="613"/>
        <item x="612"/>
        <item x="900"/>
        <item x="611"/>
        <item x="610"/>
        <item x="766"/>
        <item x="609"/>
        <item x="953"/>
        <item x="997"/>
        <item x="810"/>
        <item x="608"/>
        <item x="607"/>
        <item x="606"/>
        <item x="605"/>
        <item x="603"/>
        <item x="602"/>
        <item x="601"/>
        <item x="600"/>
        <item x="598"/>
        <item x="597"/>
        <item x="596"/>
        <item x="595"/>
        <item x="599"/>
        <item x="593"/>
        <item x="967"/>
        <item x="906"/>
        <item x="604"/>
        <item x="592"/>
        <item x="591"/>
        <item x="590"/>
        <item x="781"/>
        <item x="589"/>
        <item x="912"/>
        <item x="852"/>
        <item x="586"/>
        <item x="785"/>
        <item x="983"/>
        <item x="583"/>
        <item x="582"/>
        <item x="581"/>
        <item x="580"/>
        <item x="905"/>
        <item x="990"/>
        <item x="843"/>
        <item x="579"/>
        <item x="578"/>
        <item x="818"/>
        <item x="813"/>
        <item x="735"/>
        <item x="576"/>
        <item x="575"/>
        <item x="574"/>
        <item x="888"/>
        <item x="995"/>
        <item x="573"/>
        <item x="572"/>
        <item x="1006"/>
        <item x="571"/>
        <item x="570"/>
        <item x="919"/>
        <item x="569"/>
        <item x="567"/>
        <item x="1007"/>
        <item x="784"/>
        <item x="563"/>
        <item x="560"/>
        <item x="559"/>
        <item x="558"/>
        <item x="557"/>
        <item x="963"/>
        <item x="555"/>
        <item x="812"/>
        <item x="554"/>
        <item x="770"/>
        <item x="553"/>
        <item x="835"/>
        <item x="552"/>
        <item x="550"/>
        <item x="911"/>
        <item x="548"/>
        <item x="547"/>
        <item x="545"/>
        <item x="544"/>
        <item x="841"/>
        <item x="543"/>
        <item x="797"/>
        <item x="542"/>
        <item x="1005"/>
        <item x="541"/>
        <item x="540"/>
        <item x="539"/>
        <item x="537"/>
        <item x="594"/>
        <item x="756"/>
        <item x="796"/>
        <item x="536"/>
        <item x="877"/>
        <item x="535"/>
        <item x="747"/>
        <item x="532"/>
        <item x="531"/>
        <item x="530"/>
        <item x="529"/>
        <item x="528"/>
        <item x="854"/>
        <item x="526"/>
        <item x="538"/>
        <item x="994"/>
        <item x="746"/>
        <item x="727"/>
        <item x="524"/>
        <item x="523"/>
        <item x="779"/>
        <item x="584"/>
        <item x="522"/>
        <item x="521"/>
        <item x="969"/>
        <item x="520"/>
        <item x="519"/>
        <item x="518"/>
        <item x="783"/>
        <item x="880"/>
        <item x="516"/>
        <item x="515"/>
        <item x="514"/>
        <item x="886"/>
        <item x="512"/>
        <item x="511"/>
        <item x="510"/>
        <item x="509"/>
        <item x="823"/>
        <item x="762"/>
        <item x="964"/>
        <item x="875"/>
        <item x="898"/>
        <item x="507"/>
        <item x="513"/>
        <item x="506"/>
        <item x="730"/>
        <item x="865"/>
        <item x="855"/>
        <item x="504"/>
        <item x="503"/>
        <item x="949"/>
        <item x="500"/>
        <item x="845"/>
        <item x="498"/>
        <item x="496"/>
        <item x="764"/>
        <item x="928"/>
        <item x="495"/>
        <item x="977"/>
        <item x="492"/>
        <item x="1011"/>
        <item x="916"/>
        <item x="914"/>
        <item x="1019"/>
        <item x="490"/>
        <item x="489"/>
        <item x="772"/>
        <item x="494"/>
        <item x="924"/>
        <item x="534"/>
        <item x="487"/>
        <item x="961"/>
        <item x="807"/>
        <item x="833"/>
        <item x="922"/>
        <item x="484"/>
        <item x="483"/>
        <item x="1004"/>
        <item x="794"/>
        <item x="767"/>
        <item x="788"/>
        <item x="790"/>
        <item x="480"/>
        <item x="734"/>
        <item x="1015"/>
        <item x="478"/>
        <item x="965"/>
        <item x="848"/>
        <item x="475"/>
        <item x="1001"/>
        <item x="832"/>
        <item x="738"/>
        <item x="472"/>
        <item x="872"/>
        <item x="795"/>
        <item x="471"/>
        <item x="468"/>
        <item x="467"/>
        <item x="466"/>
        <item x="870"/>
        <item x="789"/>
        <item x="782"/>
        <item x="938"/>
        <item x="465"/>
        <item x="464"/>
        <item x="838"/>
        <item x="930"/>
        <item x="462"/>
        <item x="568"/>
        <item x="461"/>
        <item x="460"/>
        <item x="458"/>
        <item x="456"/>
        <item x="564"/>
        <item x="989"/>
        <item x="454"/>
        <item x="453"/>
        <item x="455"/>
        <item x="452"/>
        <item x="769"/>
        <item x="972"/>
        <item x="820"/>
        <item x="927"/>
        <item x="1000"/>
        <item x="744"/>
        <item x="450"/>
        <item x="760"/>
        <item x="742"/>
        <item x="771"/>
        <item x="449"/>
        <item x="447"/>
        <item x="446"/>
        <item x="981"/>
        <item x="445"/>
        <item x="808"/>
        <item x="758"/>
        <item x="444"/>
        <item x="831"/>
        <item x="910"/>
        <item x="777"/>
        <item x="934"/>
        <item x="945"/>
        <item x="892"/>
        <item x="876"/>
        <item x="815"/>
        <item x="883"/>
        <item x="451"/>
        <item x="442"/>
        <item x="968"/>
        <item x="441"/>
        <item x="440"/>
        <item x="439"/>
        <item x="1012"/>
        <item x="437"/>
        <item x="436"/>
        <item x="753"/>
        <item x="757"/>
        <item x="435"/>
        <item x="434"/>
        <item x="433"/>
        <item x="432"/>
        <item x="806"/>
        <item x="431"/>
        <item x="470"/>
        <item x="429"/>
        <item x="773"/>
        <item x="951"/>
        <item x="792"/>
        <item x="428"/>
        <item x="427"/>
        <item x="426"/>
        <item x="956"/>
        <item x="1017"/>
        <item x="931"/>
        <item x="423"/>
        <item x="422"/>
        <item x="791"/>
        <item x="903"/>
        <item x="577"/>
        <item x="799"/>
        <item x="430"/>
        <item x="418"/>
        <item x="417"/>
        <item x="416"/>
        <item x="925"/>
        <item x="414"/>
        <item x="798"/>
        <item x="413"/>
        <item x="499"/>
        <item x="412"/>
        <item x="411"/>
        <item x="410"/>
        <item x="409"/>
        <item x="408"/>
        <item x="802"/>
        <item x="897"/>
        <item x="837"/>
        <item x="745"/>
        <item x="941"/>
        <item x="858"/>
        <item x="840"/>
        <item x="405"/>
        <item x="1021"/>
        <item x="743"/>
        <item x="402"/>
        <item x="403"/>
        <item x="401"/>
        <item x="400"/>
        <item x="406"/>
        <item x="398"/>
        <item x="943"/>
        <item x="851"/>
        <item x="397"/>
        <item x="822"/>
        <item x="396"/>
        <item x="957"/>
        <item x="955"/>
        <item x="395"/>
        <item x="404"/>
        <item x="394"/>
        <item x="976"/>
        <item x="393"/>
        <item x="817"/>
        <item x="392"/>
        <item x="741"/>
        <item x="856"/>
        <item x="390"/>
        <item x="935"/>
        <item x="388"/>
        <item x="937"/>
        <item x="387"/>
        <item x="386"/>
        <item x="725"/>
        <item x="737"/>
        <item x="874"/>
        <item x="739"/>
        <item x="385"/>
        <item x="1013"/>
        <item x="878"/>
        <item x="415"/>
        <item x="656"/>
        <item x="384"/>
        <item x="804"/>
        <item x="383"/>
        <item x="847"/>
        <item x="926"/>
        <item x="382"/>
        <item x="947"/>
        <item x="999"/>
        <item x="885"/>
        <item x="380"/>
        <item x="378"/>
        <item x="377"/>
        <item x="754"/>
        <item x="488"/>
        <item x="533"/>
        <item x="996"/>
        <item x="376"/>
        <item x="375"/>
        <item x="399"/>
        <item x="1014"/>
        <item x="373"/>
        <item x="842"/>
        <item x="759"/>
        <item x="372"/>
        <item x="371"/>
        <item x="936"/>
        <item x="986"/>
        <item x="749"/>
        <item x="370"/>
        <item x="369"/>
        <item x="899"/>
        <item x="368"/>
        <item x="367"/>
        <item x="1002"/>
        <item x="365"/>
        <item x="896"/>
        <item x="364"/>
        <item x="363"/>
        <item x="360"/>
        <item x="359"/>
        <item x="863"/>
        <item x="358"/>
        <item x="357"/>
        <item x="356"/>
        <item x="355"/>
        <item x="354"/>
        <item x="352"/>
        <item x="825"/>
        <item x="350"/>
        <item x="814"/>
        <item x="349"/>
        <item x="752"/>
        <item x="859"/>
        <item x="978"/>
        <item x="361"/>
        <item x="348"/>
        <item x="775"/>
        <item x="346"/>
        <item x="988"/>
        <item x="344"/>
        <item x="343"/>
        <item x="342"/>
        <item x="881"/>
        <item x="347"/>
        <item x="970"/>
        <item x="940"/>
        <item x="830"/>
        <item x="339"/>
        <item x="973"/>
        <item x="726"/>
        <item x="366"/>
        <item x="482"/>
        <item x="819"/>
        <item x="860"/>
        <item x="338"/>
        <item x="987"/>
        <item x="336"/>
        <item x="836"/>
        <item x="527"/>
        <item x="923"/>
        <item x="335"/>
        <item x="828"/>
        <item x="801"/>
        <item x="334"/>
        <item x="918"/>
        <item x="333"/>
        <item x="332"/>
        <item x="331"/>
        <item x="330"/>
        <item x="497"/>
        <item x="329"/>
        <item x="829"/>
        <item x="768"/>
        <item x="328"/>
        <item x="933"/>
        <item x="327"/>
        <item x="326"/>
        <item x="763"/>
        <item x="587"/>
        <item x="324"/>
        <item x="549"/>
        <item x="846"/>
        <item x="323"/>
        <item x="321"/>
        <item x="476"/>
        <item x="320"/>
        <item x="319"/>
        <item x="786"/>
        <item x="942"/>
        <item x="778"/>
        <item x="318"/>
        <item x="853"/>
        <item x="893"/>
        <item x="871"/>
        <item x="960"/>
        <item x="317"/>
        <item x="1009"/>
        <item x="316"/>
        <item x="313"/>
        <item x="312"/>
        <item x="917"/>
        <item x="908"/>
        <item x="311"/>
        <item x="962"/>
        <item x="309"/>
        <item x="728"/>
        <item x="517"/>
        <item x="750"/>
        <item x="306"/>
        <item x="998"/>
        <item x="305"/>
        <item x="705"/>
        <item x="980"/>
        <item x="459"/>
        <item x="424"/>
        <item x="303"/>
        <item x="748"/>
        <item x="325"/>
        <item x="481"/>
        <item x="474"/>
        <item x="298"/>
        <item x="297"/>
        <item x="690"/>
        <item x="295"/>
        <item x="644"/>
        <item x="294"/>
        <item x="293"/>
        <item x="421"/>
        <item x="740"/>
        <item x="301"/>
        <item x="292"/>
        <item x="834"/>
        <item x="443"/>
        <item x="290"/>
        <item x="954"/>
        <item x="561"/>
        <item x="289"/>
        <item x="288"/>
        <item x="556"/>
        <item x="285"/>
        <item x="944"/>
        <item x="284"/>
        <item x="283"/>
        <item x="282"/>
        <item x="281"/>
        <item x="505"/>
        <item x="279"/>
        <item x="508"/>
        <item x="732"/>
        <item x="729"/>
        <item x="278"/>
        <item x="304"/>
        <item x="322"/>
        <item x="275"/>
        <item x="491"/>
        <item x="272"/>
        <item x="271"/>
        <item x="268"/>
        <item x="479"/>
        <item x="477"/>
        <item x="473"/>
        <item x="267"/>
        <item x="950"/>
        <item x="266"/>
        <item x="958"/>
        <item x="457"/>
        <item x="308"/>
        <item x="265"/>
        <item x="894"/>
        <item x="551"/>
        <item x="869"/>
        <item x="262"/>
        <item x="261"/>
        <item x="260"/>
        <item x="259"/>
        <item x="258"/>
        <item x="677"/>
        <item x="676"/>
        <item x="257"/>
        <item x="256"/>
        <item x="671"/>
        <item x="255"/>
        <item x="438"/>
        <item x="625"/>
        <item x="619"/>
        <item x="253"/>
        <item x="252"/>
        <item x="985"/>
        <item x="251"/>
        <item x="546"/>
        <item x="939"/>
        <item x="249"/>
        <item x="420"/>
        <item x="389"/>
        <item x="247"/>
        <item x="286"/>
        <item x="805"/>
        <item x="381"/>
        <item x="276"/>
        <item x="993"/>
        <item x="419"/>
        <item x="307"/>
        <item x="244"/>
        <item x="248"/>
        <item x="879"/>
        <item x="407"/>
        <item x="374"/>
        <item x="241"/>
        <item x="493"/>
        <item x="239"/>
        <item x="751"/>
        <item x="237"/>
        <item x="235"/>
        <item x="310"/>
        <item x="379"/>
        <item x="234"/>
        <item x="901"/>
        <item x="340"/>
        <item x="232"/>
        <item x="231"/>
        <item x="362"/>
        <item x="230"/>
        <item x="229"/>
        <item x="469"/>
        <item x="228"/>
        <item x="353"/>
        <item x="250"/>
        <item x="314"/>
        <item x="246"/>
        <item x="588"/>
        <item x="226"/>
        <item x="337"/>
        <item x="225"/>
        <item x="341"/>
        <item x="909"/>
        <item x="222"/>
        <item x="755"/>
        <item x="221"/>
        <item x="220"/>
        <item x="219"/>
        <item x="315"/>
        <item x="218"/>
        <item x="302"/>
        <item x="217"/>
        <item x="216"/>
        <item x="975"/>
        <item x="299"/>
        <item x="214"/>
        <item x="213"/>
        <item x="296"/>
        <item x="291"/>
        <item x="212"/>
        <item x="463"/>
        <item x="287"/>
        <item x="280"/>
        <item x="211"/>
        <item x="485"/>
        <item x="300"/>
        <item x="208"/>
        <item x="240"/>
        <item x="269"/>
        <item x="277"/>
        <item x="502"/>
        <item x="207"/>
        <item x="206"/>
        <item x="274"/>
        <item x="273"/>
        <item x="205"/>
        <item x="204"/>
        <item x="215"/>
        <item x="270"/>
        <item x="448"/>
        <item x="201"/>
        <item x="200"/>
        <item x="263"/>
        <item x="199"/>
        <item x="264"/>
        <item x="198"/>
        <item x="197"/>
        <item x="196"/>
        <item x="195"/>
        <item x="194"/>
        <item x="245"/>
        <item x="243"/>
        <item x="242"/>
        <item x="191"/>
        <item x="238"/>
        <item x="190"/>
        <item x="391"/>
        <item x="210"/>
        <item x="233"/>
        <item x="186"/>
        <item x="185"/>
        <item x="254"/>
        <item x="184"/>
        <item x="180"/>
        <item x="189"/>
        <item x="179"/>
        <item x="178"/>
        <item x="224"/>
        <item x="236"/>
        <item x="181"/>
        <item x="566"/>
        <item x="173"/>
        <item x="172"/>
        <item x="171"/>
        <item x="170"/>
        <item x="862"/>
        <item x="203"/>
        <item x="202"/>
        <item x="209"/>
        <item x="167"/>
        <item x="166"/>
        <item x="164"/>
        <item x="562"/>
        <item x="227"/>
        <item x="182"/>
        <item x="163"/>
        <item x="192"/>
        <item x="183"/>
        <item x="160"/>
        <item x="974"/>
        <item x="159"/>
        <item x="158"/>
        <item x="157"/>
        <item x="156"/>
        <item x="155"/>
        <item x="177"/>
        <item x="176"/>
        <item x="153"/>
        <item x="175"/>
        <item x="152"/>
        <item x="188"/>
        <item x="151"/>
        <item x="150"/>
        <item x="148"/>
        <item x="145"/>
        <item x="168"/>
        <item x="866"/>
        <item x="146"/>
        <item x="193"/>
        <item x="174"/>
        <item x="169"/>
        <item x="187"/>
        <item x="144"/>
        <item x="162"/>
        <item x="142"/>
        <item x="165"/>
        <item x="154"/>
        <item x="138"/>
        <item x="147"/>
        <item x="137"/>
        <item x="136"/>
        <item x="141"/>
        <item x="135"/>
        <item x="133"/>
        <item x="132"/>
        <item x="131"/>
        <item x="130"/>
        <item x="149"/>
        <item x="143"/>
        <item x="425"/>
        <item x="161"/>
        <item x="129"/>
        <item x="140"/>
        <item x="128"/>
        <item x="139"/>
        <item x="793"/>
        <item x="126"/>
        <item x="123"/>
        <item x="122"/>
        <item x="121"/>
        <item x="120"/>
        <item x="119"/>
        <item x="118"/>
        <item x="114"/>
        <item x="932"/>
        <item x="585"/>
        <item x="134"/>
        <item x="111"/>
        <item x="110"/>
        <item x="127"/>
        <item x="125"/>
        <item x="124"/>
        <item x="882"/>
        <item x="109"/>
        <item x="826"/>
        <item x="108"/>
        <item x="117"/>
        <item x="116"/>
        <item x="115"/>
        <item x="105"/>
        <item x="861"/>
        <item x="104"/>
        <item x="103"/>
        <item x="112"/>
        <item x="100"/>
        <item x="113"/>
        <item x="99"/>
        <item x="98"/>
        <item x="95"/>
        <item x="884"/>
        <item x="102"/>
        <item x="101"/>
        <item x="107"/>
        <item x="839"/>
        <item x="97"/>
        <item x="94"/>
        <item x="106"/>
        <item x="93"/>
        <item x="633"/>
        <item x="501"/>
        <item x="92"/>
        <item x="91"/>
        <item x="90"/>
        <item x="89"/>
        <item x="96"/>
        <item x="87"/>
        <item x="82"/>
        <item x="88"/>
        <item x="86"/>
        <item x="889"/>
        <item x="85"/>
        <item x="80"/>
        <item x="83"/>
        <item x="81"/>
        <item x="79"/>
        <item x="351"/>
        <item x="733"/>
        <item x="78"/>
        <item x="84"/>
        <item x="74"/>
        <item x="77"/>
        <item x="75"/>
        <item x="929"/>
        <item x="72"/>
        <item x="76"/>
        <item x="71"/>
        <item x="73"/>
        <item x="70"/>
        <item x="69"/>
        <item x="68"/>
        <item x="65"/>
        <item x="63"/>
        <item x="66"/>
        <item x="64"/>
        <item x="844"/>
        <item x="223"/>
        <item x="67"/>
        <item x="62"/>
        <item x="60"/>
        <item x="58"/>
        <item x="61"/>
        <item x="57"/>
        <item x="59"/>
        <item x="800"/>
        <item x="736"/>
        <item x="56"/>
        <item x="55"/>
        <item x="525"/>
        <item x="345"/>
        <item x="920"/>
        <item x="54"/>
        <item x="52"/>
        <item x="51"/>
        <item x="50"/>
        <item x="53"/>
        <item x="48"/>
        <item x="49"/>
        <item x="47"/>
        <item x="46"/>
        <item x="765"/>
        <item x="948"/>
        <item x="774"/>
        <item x="486"/>
        <item x="45"/>
        <item x="44"/>
        <item x="43"/>
        <item x="42"/>
        <item x="41"/>
        <item x="39"/>
        <item x="38"/>
        <item x="40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849"/>
        <item x="25"/>
        <item x="24"/>
        <item x="23"/>
        <item x="22"/>
        <item x="20"/>
        <item x="21"/>
        <item x="921"/>
        <item x="991"/>
        <item x="19"/>
        <item x="18"/>
        <item x="565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780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464">
        <item x="0"/>
        <item x="126"/>
        <item x="331"/>
        <item x="240"/>
        <item x="114"/>
        <item x="106"/>
        <item x="134"/>
        <item x="138"/>
        <item x="127"/>
        <item x="133"/>
        <item x="123"/>
        <item x="135"/>
        <item x="128"/>
        <item x="129"/>
        <item x="130"/>
        <item x="103"/>
        <item x="121"/>
        <item x="131"/>
        <item x="104"/>
        <item x="263"/>
        <item x="343"/>
        <item x="112"/>
        <item x="448"/>
        <item x="416"/>
        <item x="408"/>
        <item x="191"/>
        <item x="62"/>
        <item x="91"/>
        <item x="442"/>
        <item x="309"/>
        <item x="403"/>
        <item x="463"/>
        <item x="383"/>
        <item x="122"/>
        <item x="151"/>
        <item x="72"/>
        <item x="303"/>
        <item x="115"/>
        <item x="234"/>
        <item x="458"/>
        <item x="95"/>
        <item x="76"/>
        <item x="64"/>
        <item x="89"/>
        <item x="141"/>
        <item x="461"/>
        <item x="300"/>
        <item x="139"/>
        <item x="52"/>
        <item x="292"/>
        <item x="429"/>
        <item x="140"/>
        <item x="207"/>
        <item x="340"/>
        <item x="56"/>
        <item x="349"/>
        <item x="137"/>
        <item x="396"/>
        <item x="63"/>
        <item x="304"/>
        <item x="351"/>
        <item x="142"/>
        <item x="143"/>
        <item x="253"/>
        <item x="259"/>
        <item x="327"/>
        <item x="144"/>
        <item x="279"/>
        <item x="256"/>
        <item x="285"/>
        <item x="124"/>
        <item x="242"/>
        <item x="421"/>
        <item x="389"/>
        <item x="247"/>
        <item x="147"/>
        <item x="218"/>
        <item x="456"/>
        <item x="323"/>
        <item x="326"/>
        <item x="149"/>
        <item x="450"/>
        <item x="150"/>
        <item x="338"/>
        <item x="419"/>
        <item x="161"/>
        <item x="153"/>
        <item x="101"/>
        <item x="336"/>
        <item x="197"/>
        <item x="390"/>
        <item x="435"/>
        <item x="241"/>
        <item x="75"/>
        <item x="71"/>
        <item x="404"/>
        <item x="342"/>
        <item x="212"/>
        <item x="348"/>
        <item x="287"/>
        <item x="216"/>
        <item x="420"/>
        <item x="54"/>
        <item x="341"/>
        <item x="427"/>
        <item x="276"/>
        <item x="249"/>
        <item x="244"/>
        <item x="165"/>
        <item x="146"/>
        <item x="324"/>
        <item x="433"/>
        <item x="446"/>
        <item x="297"/>
        <item x="355"/>
        <item x="40"/>
        <item x="34"/>
        <item x="447"/>
        <item x="215"/>
        <item x="120"/>
        <item x="400"/>
        <item x="243"/>
        <item x="201"/>
        <item x="362"/>
        <item x="268"/>
        <item x="347"/>
        <item x="459"/>
        <item x="274"/>
        <item x="228"/>
        <item x="66"/>
        <item x="116"/>
        <item x="444"/>
        <item x="100"/>
        <item x="186"/>
        <item x="227"/>
        <item x="125"/>
        <item x="313"/>
        <item x="61"/>
        <item x="445"/>
        <item x="177"/>
        <item x="289"/>
        <item x="57"/>
        <item x="432"/>
        <item x="176"/>
        <item x="156"/>
        <item x="278"/>
        <item x="210"/>
        <item x="406"/>
        <item x="80"/>
        <item x="214"/>
        <item x="316"/>
        <item x="16"/>
        <item x="322"/>
        <item x="431"/>
        <item x="255"/>
        <item x="192"/>
        <item x="401"/>
        <item x="311"/>
        <item x="334"/>
        <item x="159"/>
        <item x="21"/>
        <item x="301"/>
        <item x="48"/>
        <item x="290"/>
        <item x="386"/>
        <item x="280"/>
        <item x="194"/>
        <item x="365"/>
        <item x="414"/>
        <item x="451"/>
        <item x="352"/>
        <item x="350"/>
        <item x="460"/>
        <item x="203"/>
        <item x="41"/>
        <item x="360"/>
        <item x="398"/>
        <item x="238"/>
        <item x="266"/>
        <item x="358"/>
        <item x="443"/>
        <item x="28"/>
        <item x="225"/>
        <item x="111"/>
        <item x="108"/>
        <item x="198"/>
        <item x="219"/>
        <item x="221"/>
        <item x="251"/>
        <item x="164"/>
        <item x="455"/>
        <item x="33"/>
        <item x="402"/>
        <item x="283"/>
        <item x="439"/>
        <item x="265"/>
        <item x="168"/>
        <item x="308"/>
        <item x="226"/>
        <item x="306"/>
        <item x="220"/>
        <item x="213"/>
        <item x="375"/>
        <item x="35"/>
        <item x="92"/>
        <item x="271"/>
        <item x="367"/>
        <item x="24"/>
        <item x="36"/>
        <item x="426"/>
        <item x="200"/>
        <item x="409"/>
        <item x="252"/>
        <item x="364"/>
        <item x="438"/>
        <item x="174"/>
        <item x="190"/>
        <item x="172"/>
        <item x="202"/>
        <item x="418"/>
        <item x="239"/>
        <item x="188"/>
        <item x="264"/>
        <item x="47"/>
        <item x="346"/>
        <item x="208"/>
        <item x="371"/>
        <item x="382"/>
        <item x="328"/>
        <item x="312"/>
        <item x="246"/>
        <item x="319"/>
        <item x="37"/>
        <item x="405"/>
        <item x="452"/>
        <item x="160"/>
        <item x="43"/>
        <item x="87"/>
        <item x="183"/>
        <item x="187"/>
        <item x="113"/>
        <item x="237"/>
        <item x="195"/>
        <item x="204"/>
        <item x="388"/>
        <item x="223"/>
        <item x="393"/>
        <item x="457"/>
        <item x="368"/>
        <item x="222"/>
        <item x="339"/>
        <item x="15"/>
        <item x="230"/>
        <item x="361"/>
        <item x="229"/>
        <item x="99"/>
        <item x="233"/>
        <item x="333"/>
        <item x="270"/>
        <item x="175"/>
        <item x="378"/>
        <item x="293"/>
        <item x="273"/>
        <item x="462"/>
        <item x="173"/>
        <item x="152"/>
        <item x="380"/>
        <item x="286"/>
        <item x="254"/>
        <item x="27"/>
        <item x="394"/>
        <item x="145"/>
        <item x="392"/>
        <item x="413"/>
        <item x="441"/>
        <item x="248"/>
        <item x="171"/>
        <item x="291"/>
        <item x="372"/>
        <item x="374"/>
        <item x="136"/>
        <item x="154"/>
        <item x="167"/>
        <item x="310"/>
        <item x="169"/>
        <item x="453"/>
        <item x="314"/>
        <item x="84"/>
        <item x="235"/>
        <item x="282"/>
        <item x="363"/>
        <item x="42"/>
        <item x="384"/>
        <item x="437"/>
        <item x="321"/>
        <item x="69"/>
        <item x="184"/>
        <item x="434"/>
        <item x="454"/>
        <item x="275"/>
        <item x="189"/>
        <item x="373"/>
        <item x="423"/>
        <item x="179"/>
        <item x="90"/>
        <item x="335"/>
        <item x="68"/>
        <item x="440"/>
        <item x="82"/>
        <item x="332"/>
        <item x="32"/>
        <item x="44"/>
        <item x="299"/>
        <item x="98"/>
        <item x="257"/>
        <item x="245"/>
        <item x="182"/>
        <item x="77"/>
        <item x="294"/>
        <item x="415"/>
        <item x="206"/>
        <item x="73"/>
        <item x="425"/>
        <item x="317"/>
        <item x="407"/>
        <item x="377"/>
        <item x="262"/>
        <item x="410"/>
        <item x="155"/>
        <item x="250"/>
        <item x="295"/>
        <item x="81"/>
        <item x="102"/>
        <item x="424"/>
        <item x="83"/>
        <item x="269"/>
        <item x="359"/>
        <item x="96"/>
        <item x="260"/>
        <item x="232"/>
        <item x="354"/>
        <item x="118"/>
        <item x="261"/>
        <item x="199"/>
        <item x="45"/>
        <item x="370"/>
        <item x="193"/>
        <item x="281"/>
        <item x="58"/>
        <item x="217"/>
        <item x="379"/>
        <item x="209"/>
        <item x="288"/>
        <item x="329"/>
        <item x="307"/>
        <item x="397"/>
        <item x="449"/>
        <item x="49"/>
        <item x="353"/>
        <item x="344"/>
        <item x="59"/>
        <item x="399"/>
        <item x="157"/>
        <item x="180"/>
        <item x="3"/>
        <item x="436"/>
        <item x="148"/>
        <item x="417"/>
        <item x="94"/>
        <item x="178"/>
        <item x="55"/>
        <item x="38"/>
        <item x="4"/>
        <item x="46"/>
        <item x="170"/>
        <item x="267"/>
        <item x="50"/>
        <item x="67"/>
        <item x="65"/>
        <item x="391"/>
        <item x="381"/>
        <item x="39"/>
        <item x="162"/>
        <item x="158"/>
        <item x="30"/>
        <item x="1"/>
        <item x="8"/>
        <item x="12"/>
        <item x="105"/>
        <item x="25"/>
        <item x="387"/>
        <item x="395"/>
        <item x="13"/>
        <item x="330"/>
        <item x="19"/>
        <item x="88"/>
        <item x="5"/>
        <item x="305"/>
        <item x="422"/>
        <item x="79"/>
        <item x="376"/>
        <item x="236"/>
        <item x="31"/>
        <item x="430"/>
        <item x="20"/>
        <item x="315"/>
        <item x="17"/>
        <item x="23"/>
        <item x="14"/>
        <item x="181"/>
        <item x="337"/>
        <item x="119"/>
        <item x="78"/>
        <item x="345"/>
        <item x="185"/>
        <item x="11"/>
        <item x="85"/>
        <item x="7"/>
        <item x="74"/>
        <item x="412"/>
        <item x="26"/>
        <item x="18"/>
        <item x="22"/>
        <item x="60"/>
        <item x="10"/>
        <item x="6"/>
        <item x="110"/>
        <item x="9"/>
        <item x="298"/>
        <item x="107"/>
        <item x="411"/>
        <item x="302"/>
        <item x="2"/>
        <item x="70"/>
        <item x="224"/>
        <item x="117"/>
        <item x="369"/>
        <item x="318"/>
        <item x="258"/>
        <item x="296"/>
        <item x="320"/>
        <item x="272"/>
        <item x="132"/>
        <item x="93"/>
        <item x="325"/>
        <item x="53"/>
        <item x="163"/>
        <item x="366"/>
        <item x="29"/>
        <item x="277"/>
        <item x="231"/>
        <item x="166"/>
        <item x="51"/>
        <item x="97"/>
        <item x="356"/>
        <item x="196"/>
        <item x="385"/>
        <item x="205"/>
        <item x="86"/>
        <item x="284"/>
        <item x="357"/>
        <item x="428"/>
        <item x="109"/>
        <item x="2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defaultSubtotal="0" outline="0" showAll="0">
      <items count="755"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defaultSubtotal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4"/>
    <field x="0"/>
  </rowFields>
  <rowItems count="2">
    <i>
      <x v="28"/>
      <x v="76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券消费" fld="6" baseField="0" baseItem="0"/>
    <dataField name="求和项:余额消费" fld="7" baseField="0" baseItem="0"/>
    <dataField name="求和项:总消费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数据透视表6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indent="0" outline="1" outlineData="1" showDrill="1" multipleFieldFilters="0">
  <location ref="A3:D1527" firstHeaderRow="0" firstDataRow="1" firstDataCol="1"/>
  <pivotFields count="9">
    <pivotField axis="axisRow" showAll="0">
      <items count="764">
        <item x="468"/>
        <item x="316"/>
        <item x="363"/>
        <item x="22"/>
        <item x="280"/>
        <item x="342"/>
        <item x="57"/>
        <item x="646"/>
        <item x="234"/>
        <item x="317"/>
        <item x="612"/>
        <item x="594"/>
        <item x="89"/>
        <item x="597"/>
        <item x="666"/>
        <item x="333"/>
        <item x="613"/>
        <item x="605"/>
        <item x="654"/>
        <item x="304"/>
        <item x="164"/>
        <item x="447"/>
        <item x="140"/>
        <item x="153"/>
        <item x="101"/>
        <item x="414"/>
        <item x="466"/>
        <item x="301"/>
        <item x="423"/>
        <item x="540"/>
        <item x="433"/>
        <item x="724"/>
        <item x="734"/>
        <item x="90"/>
        <item x="670"/>
        <item x="307"/>
        <item x="418"/>
        <item x="74"/>
        <item x="589"/>
        <item x="287"/>
        <item x="709"/>
        <item x="176"/>
        <item x="450"/>
        <item x="328"/>
        <item x="75"/>
        <item x="655"/>
        <item x="562"/>
        <item x="278"/>
        <item x="558"/>
        <item x="385"/>
        <item x="665"/>
        <item x="163"/>
        <item sd="0" x="425"/>
        <item x="398"/>
        <item x="273"/>
        <item x="104"/>
        <item x="272"/>
        <item x="259"/>
        <item x="226"/>
        <item x="299"/>
        <item x="219"/>
        <item x="344"/>
        <item x="731"/>
        <item x="309"/>
        <item x="679"/>
        <item x="374"/>
        <item x="210"/>
        <item x="131"/>
        <item x="264"/>
        <item x="730"/>
        <item x="449"/>
        <item x="748"/>
        <item x="349"/>
        <item x="746"/>
        <item x="269"/>
        <item x="563"/>
        <item x="227"/>
        <item x="382"/>
        <item x="17"/>
        <item x="367"/>
        <item x="165"/>
        <item x="258"/>
        <item x="5"/>
        <item x="116"/>
        <item x="148"/>
        <item x="11"/>
        <item x="321"/>
        <item x="209"/>
        <item x="185"/>
        <item x="749"/>
        <item x="737"/>
        <item x="162"/>
        <item x="121"/>
        <item x="19"/>
        <item x="475"/>
        <item x="187"/>
        <item x="225"/>
        <item x="685"/>
        <item x="428"/>
        <item x="755"/>
        <item x="223"/>
        <item x="717"/>
        <item x="86"/>
        <item x="158"/>
        <item x="147"/>
        <item x="692"/>
        <item x="635"/>
        <item x="62"/>
        <item x="168"/>
        <item x="228"/>
        <item x="284"/>
        <item x="283"/>
        <item x="673"/>
        <item x="681"/>
        <item x="173"/>
        <item x="150"/>
        <item x="675"/>
        <item x="79"/>
        <item x="353"/>
        <item x="56"/>
        <item x="122"/>
        <item x="348"/>
        <item x="178"/>
        <item x="129"/>
        <item x="199"/>
        <item x="633"/>
        <item x="739"/>
        <item x="318"/>
        <item x="711"/>
        <item x="686"/>
        <item x="690"/>
        <item x="747"/>
        <item x="216"/>
        <item x="361"/>
        <item x="186"/>
        <item x="72"/>
        <item x="93"/>
        <item x="184"/>
        <item x="83"/>
        <item x="156"/>
        <item x="189"/>
        <item x="331"/>
        <item x="682"/>
        <item x="757"/>
        <item x="351"/>
        <item x="141"/>
        <item x="91"/>
        <item x="420"/>
        <item x="67"/>
        <item x="34"/>
        <item x="368"/>
        <item x="262"/>
        <item x="604"/>
        <item x="745"/>
        <item x="310"/>
        <item x="293"/>
        <item x="82"/>
        <item x="218"/>
        <item x="719"/>
        <item x="631"/>
        <item x="26"/>
        <item x="335"/>
        <item x="648"/>
        <item x="65"/>
        <item x="8"/>
        <item x="664"/>
        <item x="497"/>
        <item x="570"/>
        <item x="241"/>
        <item x="6"/>
        <item x="25"/>
        <item x="135"/>
        <item x="32"/>
        <item x="649"/>
        <item x="651"/>
        <item x="97"/>
        <item x="689"/>
        <item x="106"/>
        <item x="732"/>
        <item x="678"/>
        <item x="391"/>
        <item x="683"/>
        <item x="704"/>
        <item x="144"/>
        <item x="617"/>
        <item x="750"/>
        <item x="721"/>
        <item x="214"/>
        <item x="51"/>
        <item x="44"/>
        <item x="638"/>
        <item x="639"/>
        <item x="571"/>
        <item x="261"/>
        <item x="453"/>
        <item x="454"/>
        <item x="585"/>
        <item x="201"/>
        <item x="251"/>
        <item x="213"/>
        <item x="660"/>
        <item x="647"/>
        <item x="671"/>
        <item x="384"/>
        <item x="379"/>
        <item x="324"/>
        <item x="128"/>
        <item x="154"/>
        <item x="593"/>
        <item x="618"/>
        <item x="49"/>
        <item x="170"/>
        <item x="622"/>
        <item x="476"/>
        <item x="620"/>
        <item x="29"/>
        <item x="110"/>
        <item x="134"/>
        <item x="238"/>
        <item x="718"/>
        <item x="149"/>
        <item x="713"/>
        <item x="42"/>
        <item x="60"/>
        <item x="720"/>
        <item x="266"/>
        <item x="66"/>
        <item x="204"/>
        <item x="167"/>
        <item x="268"/>
        <item x="339"/>
        <item x="615"/>
        <item x="78"/>
        <item x="350"/>
        <item x="684"/>
        <item x="55"/>
        <item x="619"/>
        <item x="471"/>
        <item x="15"/>
        <item x="24"/>
        <item x="448"/>
        <item x="628"/>
        <item x="103"/>
        <item x="573"/>
        <item x="566"/>
        <item x="27"/>
        <item x="130"/>
        <item x="179"/>
        <item x="564"/>
        <item x="39"/>
        <item x="87"/>
        <item x="758"/>
        <item x="567"/>
        <item x="127"/>
        <item x="40"/>
        <item x="452"/>
        <item x="257"/>
        <item x="92"/>
        <item x="626"/>
        <item x="248"/>
        <item x="716"/>
        <item x="71"/>
        <item x="217"/>
        <item x="460"/>
        <item x="59"/>
        <item x="356"/>
        <item x="417"/>
        <item x="58"/>
        <item x="124"/>
        <item x="456"/>
        <item x="229"/>
        <item x="190"/>
        <item x="295"/>
        <item x="432"/>
        <item x="394"/>
        <item x="212"/>
        <item x="102"/>
        <item x="285"/>
        <item x="195"/>
        <item x="23"/>
        <item x="155"/>
        <item x="48"/>
        <item x="320"/>
        <item x="95"/>
        <item x="169"/>
        <item x="314"/>
        <item x="109"/>
        <item x="404"/>
        <item x="588"/>
        <item x="308"/>
        <item x="291"/>
        <item x="279"/>
        <item x="46"/>
        <item x="582"/>
        <item x="126"/>
        <item x="54"/>
        <item x="70"/>
        <item x="413"/>
        <item x="311"/>
        <item x="85"/>
        <item x="345"/>
        <item x="369"/>
        <item x="607"/>
        <item x="630"/>
        <item x="132"/>
        <item x="244"/>
        <item x="645"/>
        <item x="197"/>
        <item x="583"/>
        <item x="580"/>
        <item x="50"/>
        <item x="77"/>
        <item x="357"/>
        <item x="288"/>
        <item x="446"/>
        <item x="621"/>
        <item x="643"/>
        <item x="637"/>
        <item x="125"/>
        <item x="84"/>
        <item x="440"/>
        <item x="192"/>
        <item x="61"/>
        <item x="198"/>
        <item x="35"/>
        <item x="282"/>
        <item x="174"/>
        <item x="698"/>
        <item x="105"/>
        <item x="69"/>
        <item x="752"/>
        <item x="239"/>
        <item x="627"/>
        <item x="559"/>
        <item x="80"/>
        <item x="459"/>
        <item x="172"/>
        <item x="572"/>
        <item x="565"/>
        <item x="376"/>
        <item x="313"/>
        <item x="43"/>
        <item x="220"/>
        <item x="14"/>
        <item x="581"/>
        <item x="355"/>
        <item x="644"/>
        <item x="416"/>
        <item x="371"/>
        <item x="616"/>
        <item x="595"/>
        <item x="271"/>
        <item x="712"/>
        <item x="100"/>
        <item x="403"/>
        <item x="625"/>
        <item x="455"/>
        <item x="47"/>
        <item x="574"/>
        <item x="568"/>
        <item x="112"/>
        <item x="434"/>
        <item x="738"/>
        <item x="441"/>
        <item x="699"/>
        <item x="677"/>
        <item x="181"/>
        <item x="632"/>
        <item x="73"/>
        <item x="119"/>
        <item x="88"/>
        <item x="381"/>
        <item x="608"/>
        <item x="474"/>
        <item x="243"/>
        <item x="725"/>
        <item x="52"/>
        <item x="586"/>
        <item x="256"/>
        <item x="396"/>
        <item x="642"/>
        <item x="470"/>
        <item x="276"/>
        <item x="429"/>
        <item x="281"/>
        <item x="115"/>
        <item x="614"/>
        <item x="222"/>
        <item x="761"/>
        <item x="700"/>
        <item x="193"/>
        <item x="208"/>
        <item x="458"/>
        <item x="473"/>
        <item x="143"/>
        <item x="687"/>
        <item x="569"/>
        <item x="260"/>
        <item x="578"/>
        <item x="53"/>
        <item x="111"/>
        <item x="584"/>
        <item x="230"/>
        <item x="138"/>
        <item x="388"/>
        <item x="41"/>
        <item x="688"/>
        <item x="76"/>
        <item x="576"/>
        <item x="107"/>
        <item x="445"/>
        <item x="499"/>
        <item x="160"/>
        <item x="395"/>
        <item x="166"/>
        <item x="702"/>
        <item x="733"/>
        <item x="599"/>
        <item x="182"/>
        <item x="672"/>
        <item x="723"/>
        <item x="400"/>
        <item x="696"/>
        <item x="634"/>
        <item x="415"/>
        <item x="744"/>
        <item x="99"/>
        <item x="579"/>
        <item x="610"/>
        <item x="641"/>
        <item x="624"/>
        <item x="290"/>
        <item x="658"/>
        <item x="221"/>
        <item x="438"/>
        <item x="601"/>
        <item x="252"/>
        <item x="598"/>
        <item x="196"/>
        <item x="705"/>
        <item x="340"/>
        <item x="741"/>
        <item x="760"/>
        <item x="609"/>
        <item x="742"/>
        <item x="364"/>
        <item x="463"/>
        <item x="487"/>
        <item x="237"/>
        <item x="327"/>
        <item x="372"/>
        <item x="397"/>
        <item x="424"/>
        <item x="715"/>
        <item x="726"/>
        <item x="294"/>
        <item x="120"/>
        <item x="508"/>
        <item x="289"/>
        <item x="464"/>
        <item x="254"/>
        <item x="18"/>
        <item x="203"/>
        <item x="611"/>
        <item x="370"/>
        <item x="28"/>
        <item x="94"/>
        <item x="427"/>
        <item x="555"/>
        <item x="469"/>
        <item x="735"/>
        <item x="114"/>
        <item x="375"/>
        <item x="211"/>
        <item x="751"/>
        <item x="484"/>
        <item x="338"/>
        <item x="108"/>
        <item x="756"/>
        <item x="680"/>
        <item x="500"/>
        <item x="4"/>
        <item x="352"/>
        <item x="390"/>
        <item x="358"/>
        <item x="177"/>
        <item x="263"/>
        <item x="662"/>
        <item x="442"/>
        <item x="480"/>
        <item x="740"/>
        <item x="462"/>
        <item x="3"/>
        <item x="539"/>
        <item x="706"/>
        <item x="759"/>
        <item x="551"/>
        <item x="430"/>
        <item x="592"/>
        <item x="531"/>
        <item x="151"/>
        <item x="493"/>
        <item x="516"/>
        <item x="543"/>
        <item x="494"/>
        <item x="509"/>
        <item x="541"/>
        <item x="435"/>
        <item x="544"/>
        <item x="546"/>
        <item x="457"/>
        <item x="305"/>
        <item x="341"/>
        <item x="439"/>
        <item x="528"/>
        <item x="693"/>
        <item x="1"/>
        <item x="636"/>
        <item x="306"/>
        <item x="548"/>
        <item x="697"/>
        <item x="515"/>
        <item x="707"/>
        <item x="535"/>
        <item x="16"/>
        <item x="602"/>
        <item x="701"/>
        <item x="183"/>
        <item x="506"/>
        <item x="492"/>
        <item x="503"/>
        <item x="472"/>
        <item x="188"/>
        <item x="518"/>
        <item x="329"/>
        <item x="489"/>
        <item x="461"/>
        <item x="529"/>
        <item x="513"/>
        <item x="2"/>
        <item x="161"/>
        <item x="245"/>
        <item x="482"/>
        <item x="180"/>
        <item x="343"/>
        <item x="13"/>
        <item x="659"/>
        <item x="142"/>
        <item x="408"/>
        <item x="694"/>
        <item x="319"/>
        <item x="504"/>
        <item x="412"/>
        <item x="532"/>
        <item x="336"/>
        <item x="118"/>
        <item x="488"/>
        <item x="554"/>
        <item x="511"/>
        <item x="553"/>
        <item x="656"/>
        <item x="674"/>
        <item x="330"/>
        <item x="629"/>
        <item x="136"/>
        <item x="9"/>
        <item x="68"/>
        <item x="334"/>
        <item x="526"/>
        <item x="728"/>
        <item x="37"/>
        <item x="547"/>
        <item x="534"/>
        <item x="478"/>
        <item x="325"/>
        <item x="669"/>
        <item x="240"/>
        <item x="159"/>
        <item x="577"/>
        <item x="557"/>
        <item x="536"/>
        <item x="303"/>
        <item x="171"/>
        <item x="729"/>
        <item x="657"/>
        <item x="603"/>
        <item x="542"/>
        <item x="510"/>
        <item x="406"/>
        <item x="591"/>
        <item x="265"/>
        <item x="402"/>
        <item x="537"/>
        <item x="485"/>
        <item x="505"/>
        <item x="292"/>
        <item x="133"/>
        <item x="270"/>
        <item x="298"/>
        <item x="7"/>
        <item x="277"/>
        <item x="483"/>
        <item x="465"/>
        <item x="137"/>
        <item x="10"/>
        <item x="708"/>
        <item x="477"/>
        <item x="359"/>
        <item x="512"/>
        <item x="661"/>
        <item x="533"/>
        <item x="502"/>
        <item x="255"/>
        <item x="527"/>
        <item x="300"/>
        <item x="549"/>
        <item x="530"/>
        <item x="347"/>
        <item x="736"/>
        <item x="486"/>
        <item x="152"/>
        <item x="521"/>
        <item x="312"/>
        <item x="695"/>
        <item x="467"/>
        <item x="496"/>
        <item x="242"/>
        <item x="525"/>
        <item x="337"/>
        <item x="191"/>
        <item x="667"/>
        <item x="246"/>
        <item x="743"/>
        <item x="206"/>
        <item x="754"/>
        <item x="422"/>
        <item x="600"/>
        <item x="236"/>
        <item x="538"/>
        <item x="386"/>
        <item x="366"/>
        <item x="231"/>
        <item x="323"/>
        <item x="623"/>
        <item x="491"/>
        <item x="215"/>
        <item x="495"/>
        <item x="524"/>
        <item x="202"/>
        <item x="332"/>
        <item x="550"/>
        <item x="552"/>
        <item x="380"/>
        <item x="205"/>
        <item x="346"/>
        <item x="250"/>
        <item x="401"/>
        <item x="387"/>
        <item x="253"/>
        <item x="710"/>
        <item x="411"/>
        <item x="590"/>
        <item x="596"/>
        <item x="30"/>
        <item x="297"/>
        <item x="498"/>
        <item x="207"/>
        <item x="668"/>
        <item x="392"/>
        <item x="481"/>
        <item x="117"/>
        <item x="437"/>
        <item x="405"/>
        <item x="409"/>
        <item x="399"/>
        <item x="274"/>
        <item x="365"/>
        <item x="522"/>
        <item x="157"/>
        <item x="520"/>
        <item x="443"/>
        <item x="235"/>
        <item x="407"/>
        <item x="36"/>
        <item x="175"/>
        <item x="501"/>
        <item x="247"/>
        <item x="373"/>
        <item x="714"/>
        <item x="410"/>
        <item x="507"/>
        <item x="517"/>
        <item x="431"/>
        <item x="232"/>
        <item x="31"/>
        <item x="383"/>
        <item x="354"/>
        <item x="233"/>
        <item x="12"/>
        <item x="145"/>
        <item x="249"/>
        <item x="296"/>
        <item x="444"/>
        <item x="753"/>
        <item x="96"/>
        <item x="224"/>
        <item x="267"/>
        <item x="362"/>
        <item x="21"/>
        <item x="378"/>
        <item x="575"/>
        <item x="640"/>
        <item x="33"/>
        <item x="514"/>
        <item x="545"/>
        <item x="650"/>
        <item x="326"/>
        <item x="123"/>
        <item x="560"/>
        <item x="302"/>
        <item x="556"/>
        <item x="315"/>
        <item x="419"/>
        <item x="146"/>
        <item x="389"/>
        <item x="691"/>
        <item x="722"/>
        <item x="200"/>
        <item x="663"/>
        <item x="113"/>
        <item x="653"/>
        <item x="451"/>
        <item x="98"/>
        <item x="64"/>
        <item x="606"/>
        <item x="676"/>
        <item x="727"/>
        <item x="479"/>
        <item x="286"/>
        <item x="519"/>
        <item x="703"/>
        <item x="561"/>
        <item x="377"/>
        <item x="587"/>
        <item x="421"/>
        <item x="81"/>
        <item x="38"/>
        <item x="322"/>
        <item x="523"/>
        <item x="490"/>
        <item x="194"/>
        <item x="45"/>
        <item x="393"/>
        <item x="20"/>
        <item x="139"/>
        <item x="436"/>
        <item x="652"/>
        <item x="360"/>
        <item x="63"/>
        <item x="426"/>
        <item x="275"/>
        <item x="0"/>
        <item m="1" x="762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7">
        <item x="2"/>
        <item x="0"/>
        <item x="3"/>
        <item x="4"/>
        <item x="5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3">
        <item x="0"/>
        <item x="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showAll="0">
      <items count="51">
        <item x="9"/>
        <item x="33"/>
        <item x="22"/>
        <item x="44"/>
        <item x="15"/>
        <item x="1"/>
        <item x="40"/>
        <item x="3"/>
        <item x="12"/>
        <item x="14"/>
        <item x="11"/>
        <item x="18"/>
        <item x="21"/>
        <item x="13"/>
        <item x="41"/>
        <item x="28"/>
        <item x="35"/>
        <item x="37"/>
        <item x="49"/>
        <item x="45"/>
        <item x="2"/>
        <item x="4"/>
        <item x="26"/>
        <item x="8"/>
        <item x="16"/>
        <item x="19"/>
        <item x="46"/>
        <item x="48"/>
        <item x="0"/>
        <item x="20"/>
        <item x="6"/>
        <item x="32"/>
        <item x="31"/>
        <item x="7"/>
        <item x="42"/>
        <item x="39"/>
        <item x="43"/>
        <item x="30"/>
        <item x="17"/>
        <item x="34"/>
        <item x="10"/>
        <item x="38"/>
        <item x="24"/>
        <item x="29"/>
        <item x="25"/>
        <item x="47"/>
        <item x="27"/>
        <item x="36"/>
        <item x="23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items count="1024">
        <item x="723"/>
        <item x="895"/>
        <item x="809"/>
        <item x="722"/>
        <item x="721"/>
        <item x="720"/>
        <item x="719"/>
        <item x="718"/>
        <item x="717"/>
        <item x="716"/>
        <item x="715"/>
        <item x="907"/>
        <item x="714"/>
        <item x="713"/>
        <item x="712"/>
        <item x="711"/>
        <item x="710"/>
        <item x="709"/>
        <item x="708"/>
        <item x="707"/>
        <item x="1008"/>
        <item x="706"/>
        <item x="979"/>
        <item x="971"/>
        <item x="761"/>
        <item x="704"/>
        <item x="703"/>
        <item x="702"/>
        <item x="701"/>
        <item x="700"/>
        <item x="1003"/>
        <item x="873"/>
        <item x="699"/>
        <item x="966"/>
        <item x="1022"/>
        <item x="946"/>
        <item x="698"/>
        <item x="697"/>
        <item x="696"/>
        <item x="695"/>
        <item x="724"/>
        <item x="694"/>
        <item x="693"/>
        <item x="692"/>
        <item x="867"/>
        <item x="691"/>
        <item x="689"/>
        <item x="688"/>
        <item x="687"/>
        <item x="686"/>
        <item x="685"/>
        <item x="684"/>
        <item x="683"/>
        <item x="682"/>
        <item x="803"/>
        <item x="1018"/>
        <item x="681"/>
        <item x="680"/>
        <item x="1020"/>
        <item x="864"/>
        <item x="679"/>
        <item x="678"/>
        <item x="675"/>
        <item x="857"/>
        <item x="674"/>
        <item x="992"/>
        <item x="673"/>
        <item x="776"/>
        <item x="672"/>
        <item x="670"/>
        <item x="904"/>
        <item x="669"/>
        <item x="913"/>
        <item x="668"/>
        <item x="667"/>
        <item x="666"/>
        <item x="665"/>
        <item x="959"/>
        <item x="664"/>
        <item x="663"/>
        <item x="662"/>
        <item x="868"/>
        <item x="661"/>
        <item x="660"/>
        <item x="915"/>
        <item x="659"/>
        <item x="658"/>
        <item x="821"/>
        <item x="657"/>
        <item x="655"/>
        <item x="654"/>
        <item x="827"/>
        <item x="891"/>
        <item x="652"/>
        <item x="824"/>
        <item x="850"/>
        <item x="651"/>
        <item x="653"/>
        <item x="650"/>
        <item x="649"/>
        <item x="648"/>
        <item x="811"/>
        <item x="647"/>
        <item x="646"/>
        <item x="984"/>
        <item x="645"/>
        <item x="643"/>
        <item x="952"/>
        <item x="816"/>
        <item x="642"/>
        <item x="641"/>
        <item x="787"/>
        <item x="640"/>
        <item x="639"/>
        <item x="638"/>
        <item x="637"/>
        <item x="636"/>
        <item x="635"/>
        <item x="634"/>
        <item x="1016"/>
        <item x="632"/>
        <item x="631"/>
        <item x="630"/>
        <item x="887"/>
        <item x="890"/>
        <item x="629"/>
        <item x="628"/>
        <item x="627"/>
        <item x="626"/>
        <item x="624"/>
        <item x="1010"/>
        <item x="623"/>
        <item x="622"/>
        <item x="621"/>
        <item x="902"/>
        <item x="620"/>
        <item x="982"/>
        <item x="731"/>
        <item x="618"/>
        <item x="617"/>
        <item x="616"/>
        <item x="615"/>
        <item x="614"/>
        <item x="613"/>
        <item x="612"/>
        <item x="900"/>
        <item x="611"/>
        <item x="610"/>
        <item x="766"/>
        <item x="609"/>
        <item x="953"/>
        <item x="997"/>
        <item x="810"/>
        <item x="608"/>
        <item x="607"/>
        <item x="606"/>
        <item x="605"/>
        <item x="603"/>
        <item x="602"/>
        <item x="601"/>
        <item x="600"/>
        <item x="598"/>
        <item x="597"/>
        <item x="596"/>
        <item x="595"/>
        <item x="599"/>
        <item x="593"/>
        <item x="967"/>
        <item x="906"/>
        <item x="604"/>
        <item x="592"/>
        <item x="591"/>
        <item x="590"/>
        <item x="781"/>
        <item x="589"/>
        <item x="912"/>
        <item x="852"/>
        <item x="586"/>
        <item x="785"/>
        <item x="983"/>
        <item x="583"/>
        <item x="582"/>
        <item x="581"/>
        <item x="580"/>
        <item x="905"/>
        <item x="990"/>
        <item x="843"/>
        <item x="579"/>
        <item x="578"/>
        <item x="818"/>
        <item x="813"/>
        <item x="735"/>
        <item x="576"/>
        <item x="575"/>
        <item x="574"/>
        <item x="888"/>
        <item x="995"/>
        <item x="573"/>
        <item x="572"/>
        <item x="1006"/>
        <item x="571"/>
        <item x="570"/>
        <item x="919"/>
        <item x="569"/>
        <item x="567"/>
        <item x="1007"/>
        <item x="784"/>
        <item x="563"/>
        <item x="560"/>
        <item x="559"/>
        <item x="558"/>
        <item x="557"/>
        <item x="963"/>
        <item x="555"/>
        <item x="812"/>
        <item x="554"/>
        <item x="770"/>
        <item x="553"/>
        <item x="835"/>
        <item x="552"/>
        <item x="550"/>
        <item x="911"/>
        <item x="548"/>
        <item x="547"/>
        <item x="545"/>
        <item x="544"/>
        <item x="841"/>
        <item x="543"/>
        <item x="797"/>
        <item x="542"/>
        <item x="1005"/>
        <item x="541"/>
        <item x="540"/>
        <item x="539"/>
        <item x="537"/>
        <item x="594"/>
        <item x="756"/>
        <item x="796"/>
        <item x="536"/>
        <item x="877"/>
        <item x="535"/>
        <item x="747"/>
        <item x="532"/>
        <item x="531"/>
        <item x="530"/>
        <item x="529"/>
        <item x="528"/>
        <item x="854"/>
        <item x="526"/>
        <item x="538"/>
        <item x="994"/>
        <item x="746"/>
        <item x="727"/>
        <item x="524"/>
        <item x="523"/>
        <item x="779"/>
        <item x="584"/>
        <item x="522"/>
        <item x="521"/>
        <item x="969"/>
        <item x="520"/>
        <item x="519"/>
        <item x="518"/>
        <item x="783"/>
        <item x="880"/>
        <item x="516"/>
        <item x="515"/>
        <item x="514"/>
        <item x="886"/>
        <item x="512"/>
        <item x="511"/>
        <item x="510"/>
        <item x="509"/>
        <item x="823"/>
        <item x="762"/>
        <item x="964"/>
        <item x="875"/>
        <item x="898"/>
        <item x="507"/>
        <item x="513"/>
        <item x="506"/>
        <item x="730"/>
        <item x="865"/>
        <item x="855"/>
        <item x="504"/>
        <item x="503"/>
        <item x="949"/>
        <item x="500"/>
        <item x="845"/>
        <item x="498"/>
        <item x="496"/>
        <item x="764"/>
        <item x="928"/>
        <item x="495"/>
        <item x="977"/>
        <item x="492"/>
        <item x="1011"/>
        <item x="916"/>
        <item x="914"/>
        <item x="1019"/>
        <item x="490"/>
        <item x="489"/>
        <item x="772"/>
        <item x="494"/>
        <item x="924"/>
        <item x="534"/>
        <item x="487"/>
        <item x="961"/>
        <item x="807"/>
        <item x="833"/>
        <item x="922"/>
        <item x="484"/>
        <item x="483"/>
        <item x="1004"/>
        <item x="794"/>
        <item x="767"/>
        <item x="788"/>
        <item x="790"/>
        <item x="480"/>
        <item x="734"/>
        <item x="1015"/>
        <item x="478"/>
        <item x="965"/>
        <item x="848"/>
        <item x="475"/>
        <item x="1001"/>
        <item x="832"/>
        <item x="738"/>
        <item x="472"/>
        <item x="872"/>
        <item x="795"/>
        <item x="471"/>
        <item x="468"/>
        <item x="467"/>
        <item x="466"/>
        <item x="870"/>
        <item x="789"/>
        <item x="782"/>
        <item x="938"/>
        <item x="465"/>
        <item x="464"/>
        <item x="838"/>
        <item x="930"/>
        <item x="462"/>
        <item x="568"/>
        <item x="461"/>
        <item x="460"/>
        <item x="458"/>
        <item x="456"/>
        <item x="564"/>
        <item x="989"/>
        <item x="454"/>
        <item x="453"/>
        <item x="455"/>
        <item x="452"/>
        <item x="769"/>
        <item x="972"/>
        <item x="820"/>
        <item x="927"/>
        <item x="1000"/>
        <item x="744"/>
        <item x="450"/>
        <item x="760"/>
        <item x="742"/>
        <item x="771"/>
        <item x="449"/>
        <item x="447"/>
        <item x="446"/>
        <item x="981"/>
        <item x="445"/>
        <item x="808"/>
        <item x="758"/>
        <item x="444"/>
        <item x="831"/>
        <item x="910"/>
        <item x="777"/>
        <item x="934"/>
        <item x="945"/>
        <item x="892"/>
        <item x="876"/>
        <item x="815"/>
        <item x="883"/>
        <item x="451"/>
        <item x="442"/>
        <item x="968"/>
        <item x="441"/>
        <item x="440"/>
        <item x="439"/>
        <item x="1012"/>
        <item x="437"/>
        <item x="436"/>
        <item x="753"/>
        <item x="757"/>
        <item x="435"/>
        <item x="434"/>
        <item x="433"/>
        <item x="432"/>
        <item x="806"/>
        <item x="431"/>
        <item x="470"/>
        <item x="429"/>
        <item x="773"/>
        <item x="951"/>
        <item x="792"/>
        <item x="428"/>
        <item x="427"/>
        <item x="426"/>
        <item x="956"/>
        <item x="1017"/>
        <item x="931"/>
        <item x="423"/>
        <item x="422"/>
        <item x="791"/>
        <item x="903"/>
        <item x="577"/>
        <item x="799"/>
        <item x="430"/>
        <item x="418"/>
        <item x="417"/>
        <item x="416"/>
        <item x="925"/>
        <item x="414"/>
        <item x="798"/>
        <item x="413"/>
        <item x="499"/>
        <item x="412"/>
        <item x="411"/>
        <item x="410"/>
        <item x="409"/>
        <item x="408"/>
        <item x="802"/>
        <item x="897"/>
        <item x="837"/>
        <item x="745"/>
        <item x="941"/>
        <item x="858"/>
        <item x="840"/>
        <item x="405"/>
        <item x="1021"/>
        <item x="743"/>
        <item x="402"/>
        <item x="403"/>
        <item x="401"/>
        <item x="400"/>
        <item x="406"/>
        <item x="398"/>
        <item x="943"/>
        <item x="851"/>
        <item x="397"/>
        <item x="822"/>
        <item x="396"/>
        <item x="957"/>
        <item x="955"/>
        <item x="395"/>
        <item x="404"/>
        <item x="394"/>
        <item x="976"/>
        <item x="393"/>
        <item x="817"/>
        <item x="392"/>
        <item x="741"/>
        <item x="856"/>
        <item x="390"/>
        <item x="935"/>
        <item x="388"/>
        <item x="937"/>
        <item x="387"/>
        <item x="386"/>
        <item x="725"/>
        <item x="737"/>
        <item x="874"/>
        <item x="739"/>
        <item x="385"/>
        <item x="1013"/>
        <item x="878"/>
        <item x="415"/>
        <item x="656"/>
        <item x="384"/>
        <item x="804"/>
        <item x="383"/>
        <item x="847"/>
        <item x="926"/>
        <item x="382"/>
        <item x="947"/>
        <item x="999"/>
        <item x="885"/>
        <item x="380"/>
        <item x="378"/>
        <item x="377"/>
        <item x="754"/>
        <item x="488"/>
        <item x="533"/>
        <item x="996"/>
        <item x="376"/>
        <item x="375"/>
        <item x="399"/>
        <item x="1014"/>
        <item x="373"/>
        <item x="842"/>
        <item x="759"/>
        <item x="372"/>
        <item x="371"/>
        <item x="936"/>
        <item x="986"/>
        <item x="749"/>
        <item x="370"/>
        <item x="369"/>
        <item x="899"/>
        <item x="368"/>
        <item x="367"/>
        <item x="1002"/>
        <item x="365"/>
        <item x="896"/>
        <item x="364"/>
        <item x="363"/>
        <item x="360"/>
        <item x="359"/>
        <item x="863"/>
        <item x="358"/>
        <item x="357"/>
        <item x="356"/>
        <item x="355"/>
        <item x="354"/>
        <item x="352"/>
        <item x="825"/>
        <item x="350"/>
        <item x="814"/>
        <item x="349"/>
        <item x="752"/>
        <item x="859"/>
        <item x="978"/>
        <item x="361"/>
        <item x="348"/>
        <item x="775"/>
        <item x="346"/>
        <item x="988"/>
        <item x="344"/>
        <item x="343"/>
        <item x="342"/>
        <item x="881"/>
        <item x="347"/>
        <item x="970"/>
        <item x="940"/>
        <item x="830"/>
        <item x="339"/>
        <item x="973"/>
        <item x="726"/>
        <item x="366"/>
        <item x="482"/>
        <item x="819"/>
        <item x="860"/>
        <item x="338"/>
        <item x="987"/>
        <item x="336"/>
        <item x="836"/>
        <item x="527"/>
        <item x="923"/>
        <item x="335"/>
        <item x="828"/>
        <item x="801"/>
        <item x="334"/>
        <item x="918"/>
        <item x="333"/>
        <item x="332"/>
        <item x="331"/>
        <item x="330"/>
        <item x="497"/>
        <item x="329"/>
        <item x="829"/>
        <item x="768"/>
        <item x="328"/>
        <item x="933"/>
        <item x="327"/>
        <item x="326"/>
        <item x="763"/>
        <item x="587"/>
        <item x="324"/>
        <item x="549"/>
        <item x="846"/>
        <item x="323"/>
        <item x="321"/>
        <item x="476"/>
        <item x="320"/>
        <item x="319"/>
        <item x="786"/>
        <item x="942"/>
        <item x="778"/>
        <item x="318"/>
        <item x="853"/>
        <item x="893"/>
        <item x="871"/>
        <item x="960"/>
        <item x="317"/>
        <item x="1009"/>
        <item x="316"/>
        <item x="313"/>
        <item x="312"/>
        <item x="917"/>
        <item x="908"/>
        <item x="311"/>
        <item x="962"/>
        <item x="309"/>
        <item x="728"/>
        <item x="517"/>
        <item x="750"/>
        <item x="306"/>
        <item x="998"/>
        <item x="305"/>
        <item x="705"/>
        <item x="980"/>
        <item x="459"/>
        <item x="424"/>
        <item x="303"/>
        <item x="748"/>
        <item x="325"/>
        <item x="481"/>
        <item x="474"/>
        <item x="298"/>
        <item x="297"/>
        <item x="690"/>
        <item x="295"/>
        <item x="644"/>
        <item x="294"/>
        <item x="293"/>
        <item x="421"/>
        <item x="740"/>
        <item x="301"/>
        <item x="292"/>
        <item x="834"/>
        <item x="443"/>
        <item x="290"/>
        <item x="954"/>
        <item x="561"/>
        <item x="289"/>
        <item x="288"/>
        <item x="556"/>
        <item x="285"/>
        <item x="944"/>
        <item x="284"/>
        <item x="283"/>
        <item x="282"/>
        <item x="281"/>
        <item x="505"/>
        <item x="279"/>
        <item x="508"/>
        <item x="732"/>
        <item x="729"/>
        <item x="278"/>
        <item x="304"/>
        <item x="322"/>
        <item x="275"/>
        <item x="491"/>
        <item x="272"/>
        <item x="271"/>
        <item x="268"/>
        <item x="479"/>
        <item x="477"/>
        <item x="473"/>
        <item x="267"/>
        <item x="950"/>
        <item x="266"/>
        <item x="958"/>
        <item x="457"/>
        <item x="308"/>
        <item x="265"/>
        <item x="894"/>
        <item x="551"/>
        <item x="869"/>
        <item x="262"/>
        <item x="261"/>
        <item x="260"/>
        <item x="259"/>
        <item x="258"/>
        <item x="677"/>
        <item x="676"/>
        <item x="257"/>
        <item x="256"/>
        <item x="671"/>
        <item x="255"/>
        <item x="438"/>
        <item x="625"/>
        <item x="619"/>
        <item x="253"/>
        <item x="252"/>
        <item x="985"/>
        <item x="251"/>
        <item x="546"/>
        <item x="939"/>
        <item x="249"/>
        <item x="420"/>
        <item x="389"/>
        <item x="247"/>
        <item x="286"/>
        <item x="805"/>
        <item x="381"/>
        <item x="276"/>
        <item x="993"/>
        <item x="419"/>
        <item x="307"/>
        <item x="244"/>
        <item x="248"/>
        <item x="879"/>
        <item x="407"/>
        <item x="374"/>
        <item x="241"/>
        <item x="493"/>
        <item x="239"/>
        <item x="751"/>
        <item x="237"/>
        <item x="235"/>
        <item x="310"/>
        <item x="379"/>
        <item x="234"/>
        <item x="901"/>
        <item x="340"/>
        <item x="232"/>
        <item x="231"/>
        <item x="362"/>
        <item x="230"/>
        <item x="229"/>
        <item x="469"/>
        <item x="228"/>
        <item x="353"/>
        <item x="250"/>
        <item x="314"/>
        <item x="246"/>
        <item x="588"/>
        <item x="226"/>
        <item x="337"/>
        <item x="225"/>
        <item x="341"/>
        <item x="909"/>
        <item x="222"/>
        <item x="755"/>
        <item x="221"/>
        <item x="220"/>
        <item x="219"/>
        <item x="315"/>
        <item x="218"/>
        <item x="302"/>
        <item x="217"/>
        <item x="216"/>
        <item x="975"/>
        <item x="299"/>
        <item x="214"/>
        <item x="213"/>
        <item x="296"/>
        <item x="291"/>
        <item x="212"/>
        <item x="463"/>
        <item x="287"/>
        <item x="280"/>
        <item x="211"/>
        <item x="485"/>
        <item x="300"/>
        <item x="208"/>
        <item x="240"/>
        <item x="269"/>
        <item x="277"/>
        <item x="502"/>
        <item x="207"/>
        <item x="206"/>
        <item x="274"/>
        <item x="273"/>
        <item x="205"/>
        <item x="204"/>
        <item x="215"/>
        <item x="270"/>
        <item x="448"/>
        <item x="201"/>
        <item x="200"/>
        <item x="263"/>
        <item x="199"/>
        <item x="264"/>
        <item x="198"/>
        <item x="197"/>
        <item x="196"/>
        <item x="195"/>
        <item x="194"/>
        <item x="245"/>
        <item x="243"/>
        <item x="242"/>
        <item x="191"/>
        <item x="238"/>
        <item x="190"/>
        <item x="391"/>
        <item x="210"/>
        <item x="233"/>
        <item x="186"/>
        <item x="185"/>
        <item x="254"/>
        <item x="184"/>
        <item x="180"/>
        <item x="189"/>
        <item x="179"/>
        <item x="178"/>
        <item x="224"/>
        <item x="236"/>
        <item x="181"/>
        <item x="566"/>
        <item x="173"/>
        <item x="172"/>
        <item x="171"/>
        <item x="170"/>
        <item x="862"/>
        <item x="203"/>
        <item x="202"/>
        <item x="209"/>
        <item x="167"/>
        <item x="166"/>
        <item x="164"/>
        <item x="562"/>
        <item x="227"/>
        <item x="182"/>
        <item x="163"/>
        <item x="192"/>
        <item x="183"/>
        <item x="160"/>
        <item x="974"/>
        <item x="159"/>
        <item x="158"/>
        <item x="157"/>
        <item x="156"/>
        <item x="155"/>
        <item x="177"/>
        <item x="176"/>
        <item x="153"/>
        <item x="175"/>
        <item x="152"/>
        <item x="188"/>
        <item x="151"/>
        <item x="150"/>
        <item x="148"/>
        <item x="145"/>
        <item x="168"/>
        <item x="866"/>
        <item x="146"/>
        <item x="193"/>
        <item x="174"/>
        <item x="169"/>
        <item x="187"/>
        <item x="144"/>
        <item x="162"/>
        <item x="142"/>
        <item x="165"/>
        <item x="154"/>
        <item x="138"/>
        <item x="147"/>
        <item x="137"/>
        <item x="136"/>
        <item x="141"/>
        <item x="135"/>
        <item x="133"/>
        <item x="132"/>
        <item x="131"/>
        <item x="130"/>
        <item x="149"/>
        <item x="143"/>
        <item x="425"/>
        <item x="161"/>
        <item x="129"/>
        <item x="140"/>
        <item x="128"/>
        <item x="139"/>
        <item x="793"/>
        <item x="126"/>
        <item x="123"/>
        <item x="122"/>
        <item x="121"/>
        <item x="120"/>
        <item x="119"/>
        <item x="118"/>
        <item x="114"/>
        <item x="932"/>
        <item x="585"/>
        <item x="134"/>
        <item x="111"/>
        <item x="110"/>
        <item x="127"/>
        <item x="125"/>
        <item x="124"/>
        <item x="882"/>
        <item x="109"/>
        <item x="826"/>
        <item x="108"/>
        <item x="117"/>
        <item x="116"/>
        <item x="115"/>
        <item x="105"/>
        <item x="861"/>
        <item x="104"/>
        <item x="103"/>
        <item x="112"/>
        <item x="100"/>
        <item x="113"/>
        <item x="99"/>
        <item x="98"/>
        <item x="95"/>
        <item x="884"/>
        <item x="102"/>
        <item x="101"/>
        <item x="107"/>
        <item x="839"/>
        <item x="97"/>
        <item x="94"/>
        <item x="106"/>
        <item x="93"/>
        <item x="633"/>
        <item x="501"/>
        <item x="92"/>
        <item x="91"/>
        <item x="90"/>
        <item x="89"/>
        <item x="96"/>
        <item x="87"/>
        <item x="82"/>
        <item x="88"/>
        <item x="86"/>
        <item x="889"/>
        <item x="85"/>
        <item x="80"/>
        <item x="83"/>
        <item x="81"/>
        <item x="79"/>
        <item x="351"/>
        <item x="733"/>
        <item x="78"/>
        <item x="84"/>
        <item x="74"/>
        <item x="77"/>
        <item x="75"/>
        <item x="929"/>
        <item x="72"/>
        <item x="76"/>
        <item x="71"/>
        <item x="73"/>
        <item x="70"/>
        <item x="69"/>
        <item x="68"/>
        <item x="65"/>
        <item x="63"/>
        <item x="66"/>
        <item x="64"/>
        <item x="844"/>
        <item x="223"/>
        <item x="67"/>
        <item x="62"/>
        <item x="60"/>
        <item x="58"/>
        <item x="61"/>
        <item x="57"/>
        <item x="59"/>
        <item x="800"/>
        <item x="736"/>
        <item x="56"/>
        <item x="55"/>
        <item x="525"/>
        <item x="345"/>
        <item x="920"/>
        <item x="54"/>
        <item x="52"/>
        <item x="51"/>
        <item x="50"/>
        <item x="53"/>
        <item x="48"/>
        <item x="49"/>
        <item x="47"/>
        <item x="46"/>
        <item x="765"/>
        <item x="948"/>
        <item x="774"/>
        <item x="486"/>
        <item x="45"/>
        <item x="44"/>
        <item x="43"/>
        <item x="42"/>
        <item x="41"/>
        <item x="39"/>
        <item x="38"/>
        <item x="40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849"/>
        <item x="25"/>
        <item x="24"/>
        <item x="23"/>
        <item x="22"/>
        <item x="20"/>
        <item x="21"/>
        <item x="921"/>
        <item x="991"/>
        <item x="19"/>
        <item x="18"/>
        <item x="565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780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items count="465">
        <item x="0"/>
        <item x="126"/>
        <item x="331"/>
        <item x="240"/>
        <item x="114"/>
        <item x="106"/>
        <item x="134"/>
        <item x="138"/>
        <item x="127"/>
        <item x="133"/>
        <item x="123"/>
        <item x="135"/>
        <item x="128"/>
        <item x="129"/>
        <item x="130"/>
        <item x="103"/>
        <item x="121"/>
        <item x="131"/>
        <item x="104"/>
        <item x="263"/>
        <item x="343"/>
        <item x="112"/>
        <item x="448"/>
        <item x="416"/>
        <item x="408"/>
        <item x="191"/>
        <item x="62"/>
        <item x="91"/>
        <item x="442"/>
        <item x="309"/>
        <item x="403"/>
        <item x="463"/>
        <item x="383"/>
        <item x="122"/>
        <item x="151"/>
        <item x="72"/>
        <item x="303"/>
        <item x="115"/>
        <item x="234"/>
        <item x="458"/>
        <item x="95"/>
        <item x="76"/>
        <item x="64"/>
        <item x="89"/>
        <item x="141"/>
        <item x="461"/>
        <item x="300"/>
        <item x="139"/>
        <item x="52"/>
        <item x="292"/>
        <item x="429"/>
        <item x="140"/>
        <item x="207"/>
        <item x="340"/>
        <item x="56"/>
        <item x="349"/>
        <item x="137"/>
        <item x="396"/>
        <item x="63"/>
        <item x="304"/>
        <item x="351"/>
        <item x="142"/>
        <item x="143"/>
        <item x="253"/>
        <item x="259"/>
        <item x="327"/>
        <item x="144"/>
        <item x="279"/>
        <item x="256"/>
        <item x="285"/>
        <item x="124"/>
        <item x="242"/>
        <item x="421"/>
        <item x="389"/>
        <item x="247"/>
        <item x="147"/>
        <item x="218"/>
        <item x="456"/>
        <item x="323"/>
        <item x="326"/>
        <item x="149"/>
        <item x="450"/>
        <item x="150"/>
        <item x="338"/>
        <item x="419"/>
        <item x="161"/>
        <item x="153"/>
        <item x="101"/>
        <item x="336"/>
        <item x="197"/>
        <item x="390"/>
        <item x="435"/>
        <item x="241"/>
        <item x="75"/>
        <item x="71"/>
        <item x="404"/>
        <item x="342"/>
        <item x="212"/>
        <item x="348"/>
        <item x="287"/>
        <item x="216"/>
        <item x="420"/>
        <item x="54"/>
        <item x="341"/>
        <item x="427"/>
        <item x="276"/>
        <item x="249"/>
        <item x="244"/>
        <item x="165"/>
        <item x="146"/>
        <item x="324"/>
        <item x="433"/>
        <item x="446"/>
        <item x="297"/>
        <item x="355"/>
        <item x="40"/>
        <item x="34"/>
        <item x="447"/>
        <item x="215"/>
        <item x="120"/>
        <item x="400"/>
        <item x="243"/>
        <item x="201"/>
        <item x="362"/>
        <item x="268"/>
        <item x="347"/>
        <item x="459"/>
        <item x="274"/>
        <item x="228"/>
        <item x="66"/>
        <item x="116"/>
        <item x="444"/>
        <item x="100"/>
        <item x="186"/>
        <item x="227"/>
        <item x="125"/>
        <item x="313"/>
        <item x="61"/>
        <item x="445"/>
        <item x="177"/>
        <item x="289"/>
        <item x="57"/>
        <item x="432"/>
        <item x="176"/>
        <item x="156"/>
        <item x="278"/>
        <item x="210"/>
        <item x="406"/>
        <item x="80"/>
        <item x="214"/>
        <item x="316"/>
        <item x="16"/>
        <item x="322"/>
        <item x="431"/>
        <item x="255"/>
        <item x="192"/>
        <item x="401"/>
        <item x="311"/>
        <item x="334"/>
        <item x="159"/>
        <item x="21"/>
        <item x="301"/>
        <item x="48"/>
        <item x="290"/>
        <item x="386"/>
        <item x="280"/>
        <item x="194"/>
        <item x="365"/>
        <item x="414"/>
        <item x="451"/>
        <item x="352"/>
        <item x="350"/>
        <item x="460"/>
        <item x="203"/>
        <item x="41"/>
        <item x="360"/>
        <item x="398"/>
        <item x="238"/>
        <item x="266"/>
        <item x="358"/>
        <item x="443"/>
        <item x="28"/>
        <item x="225"/>
        <item x="111"/>
        <item x="108"/>
        <item x="198"/>
        <item x="219"/>
        <item x="221"/>
        <item x="251"/>
        <item x="164"/>
        <item x="455"/>
        <item x="33"/>
        <item x="402"/>
        <item x="283"/>
        <item x="439"/>
        <item x="265"/>
        <item x="168"/>
        <item x="308"/>
        <item x="226"/>
        <item x="306"/>
        <item x="220"/>
        <item x="213"/>
        <item x="375"/>
        <item x="35"/>
        <item x="92"/>
        <item x="271"/>
        <item x="367"/>
        <item x="24"/>
        <item x="36"/>
        <item x="426"/>
        <item x="200"/>
        <item x="409"/>
        <item x="252"/>
        <item x="364"/>
        <item x="438"/>
        <item x="174"/>
        <item x="190"/>
        <item x="172"/>
        <item x="202"/>
        <item x="418"/>
        <item x="239"/>
        <item x="188"/>
        <item x="264"/>
        <item x="47"/>
        <item x="346"/>
        <item x="208"/>
        <item x="371"/>
        <item x="382"/>
        <item x="328"/>
        <item x="312"/>
        <item x="246"/>
        <item x="319"/>
        <item x="37"/>
        <item x="405"/>
        <item x="452"/>
        <item x="160"/>
        <item x="43"/>
        <item x="87"/>
        <item x="183"/>
        <item x="187"/>
        <item x="113"/>
        <item x="237"/>
        <item x="195"/>
        <item x="204"/>
        <item x="388"/>
        <item x="223"/>
        <item x="393"/>
        <item x="457"/>
        <item x="368"/>
        <item x="222"/>
        <item x="339"/>
        <item x="15"/>
        <item x="230"/>
        <item x="361"/>
        <item x="229"/>
        <item x="99"/>
        <item x="233"/>
        <item x="333"/>
        <item x="270"/>
        <item x="175"/>
        <item x="378"/>
        <item x="293"/>
        <item x="273"/>
        <item x="462"/>
        <item x="173"/>
        <item x="152"/>
        <item x="380"/>
        <item x="286"/>
        <item x="254"/>
        <item x="27"/>
        <item x="394"/>
        <item x="145"/>
        <item x="392"/>
        <item x="413"/>
        <item x="441"/>
        <item x="248"/>
        <item x="171"/>
        <item x="291"/>
        <item x="372"/>
        <item x="374"/>
        <item x="136"/>
        <item x="154"/>
        <item x="167"/>
        <item x="310"/>
        <item x="169"/>
        <item x="453"/>
        <item x="314"/>
        <item x="84"/>
        <item x="235"/>
        <item x="282"/>
        <item x="363"/>
        <item x="42"/>
        <item x="384"/>
        <item x="437"/>
        <item x="321"/>
        <item x="69"/>
        <item x="184"/>
        <item x="434"/>
        <item x="454"/>
        <item x="275"/>
        <item x="189"/>
        <item x="373"/>
        <item x="423"/>
        <item x="179"/>
        <item x="90"/>
        <item x="335"/>
        <item x="68"/>
        <item x="440"/>
        <item x="82"/>
        <item x="332"/>
        <item x="32"/>
        <item x="44"/>
        <item x="299"/>
        <item x="98"/>
        <item x="257"/>
        <item x="245"/>
        <item x="182"/>
        <item x="77"/>
        <item x="294"/>
        <item x="415"/>
        <item x="206"/>
        <item x="73"/>
        <item x="425"/>
        <item x="317"/>
        <item x="407"/>
        <item x="377"/>
        <item x="262"/>
        <item x="410"/>
        <item x="155"/>
        <item x="250"/>
        <item x="295"/>
        <item x="81"/>
        <item x="102"/>
        <item x="424"/>
        <item x="83"/>
        <item x="269"/>
        <item x="359"/>
        <item x="96"/>
        <item x="260"/>
        <item x="232"/>
        <item x="354"/>
        <item x="118"/>
        <item x="261"/>
        <item x="199"/>
        <item x="45"/>
        <item x="370"/>
        <item x="193"/>
        <item x="281"/>
        <item x="58"/>
        <item x="217"/>
        <item x="379"/>
        <item x="209"/>
        <item x="288"/>
        <item x="329"/>
        <item x="307"/>
        <item x="397"/>
        <item x="449"/>
        <item x="49"/>
        <item x="353"/>
        <item x="344"/>
        <item x="59"/>
        <item x="399"/>
        <item x="157"/>
        <item x="180"/>
        <item x="3"/>
        <item x="436"/>
        <item x="148"/>
        <item x="417"/>
        <item x="94"/>
        <item x="178"/>
        <item x="55"/>
        <item x="38"/>
        <item x="4"/>
        <item x="46"/>
        <item x="170"/>
        <item x="267"/>
        <item x="50"/>
        <item x="67"/>
        <item x="65"/>
        <item x="391"/>
        <item x="381"/>
        <item x="39"/>
        <item x="162"/>
        <item x="158"/>
        <item x="30"/>
        <item x="1"/>
        <item x="8"/>
        <item x="12"/>
        <item x="105"/>
        <item x="25"/>
        <item x="387"/>
        <item x="395"/>
        <item x="13"/>
        <item x="330"/>
        <item x="19"/>
        <item x="88"/>
        <item x="5"/>
        <item x="305"/>
        <item x="422"/>
        <item x="79"/>
        <item x="376"/>
        <item x="236"/>
        <item x="31"/>
        <item x="430"/>
        <item x="20"/>
        <item x="315"/>
        <item x="17"/>
        <item x="23"/>
        <item x="14"/>
        <item x="181"/>
        <item x="337"/>
        <item x="119"/>
        <item x="78"/>
        <item x="345"/>
        <item x="185"/>
        <item x="11"/>
        <item x="85"/>
        <item x="7"/>
        <item x="74"/>
        <item x="412"/>
        <item x="26"/>
        <item x="18"/>
        <item x="22"/>
        <item x="60"/>
        <item x="10"/>
        <item x="6"/>
        <item x="110"/>
        <item x="9"/>
        <item x="298"/>
        <item x="107"/>
        <item x="411"/>
        <item x="302"/>
        <item x="2"/>
        <item x="70"/>
        <item x="224"/>
        <item x="117"/>
        <item x="369"/>
        <item x="318"/>
        <item x="258"/>
        <item x="296"/>
        <item x="320"/>
        <item x="272"/>
        <item x="132"/>
        <item x="93"/>
        <item x="325"/>
        <item x="53"/>
        <item x="163"/>
        <item x="366"/>
        <item x="29"/>
        <item x="277"/>
        <item x="231"/>
        <item x="166"/>
        <item x="51"/>
        <item x="97"/>
        <item x="356"/>
        <item x="196"/>
        <item x="385"/>
        <item x="205"/>
        <item x="86"/>
        <item x="284"/>
        <item x="357"/>
        <item x="428"/>
        <item x="109"/>
        <item x="211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showAll="0">
      <items count="756"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>
      <items count="2">
        <item x="0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4"/>
  </rowFields>
  <rowItems count="1524">
    <i>
      <x/>
    </i>
    <i r="1">
      <x v="49"/>
    </i>
    <i>
      <x v="1"/>
    </i>
    <i r="1">
      <x v="49"/>
    </i>
    <i>
      <x v="2"/>
    </i>
    <i r="1">
      <x v="49"/>
    </i>
    <i>
      <x v="3"/>
    </i>
    <i r="1">
      <x v="13"/>
    </i>
    <i>
      <x v="4"/>
    </i>
    <i r="1">
      <x v="49"/>
    </i>
    <i>
      <x v="5"/>
    </i>
    <i r="1">
      <x v="49"/>
    </i>
    <i>
      <x v="6"/>
    </i>
    <i r="1">
      <x v="49"/>
    </i>
    <i>
      <x v="7"/>
    </i>
    <i r="1">
      <x v="49"/>
    </i>
    <i>
      <x v="8"/>
    </i>
    <i r="1">
      <x v="32"/>
    </i>
    <i>
      <x v="9"/>
    </i>
    <i r="1">
      <x v="49"/>
    </i>
    <i>
      <x v="10"/>
    </i>
    <i r="1">
      <x v="49"/>
    </i>
    <i>
      <x v="11"/>
    </i>
    <i r="1">
      <x v="49"/>
    </i>
    <i>
      <x v="12"/>
    </i>
    <i r="1">
      <x v="49"/>
    </i>
    <i>
      <x v="13"/>
    </i>
    <i r="1">
      <x v="49"/>
    </i>
    <i>
      <x v="14"/>
    </i>
    <i r="1">
      <x v="49"/>
    </i>
    <i>
      <x v="15"/>
    </i>
    <i r="1">
      <x v="49"/>
    </i>
    <i>
      <x v="16"/>
    </i>
    <i r="1">
      <x v="49"/>
    </i>
    <i>
      <x v="17"/>
    </i>
    <i r="1">
      <x v="49"/>
    </i>
    <i>
      <x v="18"/>
    </i>
    <i r="1">
      <x v="49"/>
    </i>
    <i>
      <x v="19"/>
    </i>
    <i r="1">
      <x v="49"/>
    </i>
    <i>
      <x v="20"/>
    </i>
    <i r="1">
      <x v="15"/>
    </i>
    <i>
      <x v="21"/>
    </i>
    <i r="1">
      <x v="49"/>
    </i>
    <i>
      <x v="22"/>
    </i>
    <i r="1">
      <x v="49"/>
    </i>
    <i>
      <x v="23"/>
    </i>
    <i r="1">
      <x v="49"/>
    </i>
    <i>
      <x v="24"/>
    </i>
    <i r="1">
      <x v="49"/>
    </i>
    <i>
      <x v="25"/>
    </i>
    <i r="1">
      <x v="49"/>
    </i>
    <i>
      <x v="26"/>
    </i>
    <i r="1">
      <x v="49"/>
    </i>
    <i>
      <x v="27"/>
    </i>
    <i r="1">
      <x v="49"/>
    </i>
    <i>
      <x v="28"/>
    </i>
    <i r="1">
      <x v="49"/>
    </i>
    <i>
      <x v="29"/>
    </i>
    <i r="1">
      <x v="49"/>
    </i>
    <i>
      <x v="30"/>
    </i>
    <i r="1">
      <x v="35"/>
    </i>
    <i>
      <x v="31"/>
    </i>
    <i r="1">
      <x v="45"/>
    </i>
    <i>
      <x v="32"/>
    </i>
    <i r="1">
      <x v="49"/>
    </i>
    <i>
      <x v="33"/>
    </i>
    <i r="1">
      <x v="49"/>
    </i>
    <i>
      <x v="34"/>
    </i>
    <i r="1">
      <x v="49"/>
    </i>
    <i>
      <x v="35"/>
    </i>
    <i r="1">
      <x v="49"/>
    </i>
    <i>
      <x v="36"/>
    </i>
    <i r="1">
      <x v="49"/>
    </i>
    <i>
      <x v="37"/>
    </i>
    <i r="1">
      <x v="49"/>
    </i>
    <i>
      <x v="38"/>
    </i>
    <i r="1">
      <x v="49"/>
    </i>
    <i>
      <x v="39"/>
    </i>
    <i r="1">
      <x v="49"/>
    </i>
    <i>
      <x v="40"/>
    </i>
    <i r="1">
      <x v="26"/>
    </i>
    <i>
      <x v="41"/>
    </i>
    <i r="1">
      <x v="49"/>
    </i>
    <i>
      <x v="42"/>
    </i>
    <i r="1">
      <x v="49"/>
    </i>
    <i>
      <x v="43"/>
    </i>
    <i r="1">
      <x v="49"/>
    </i>
    <i>
      <x v="44"/>
    </i>
    <i r="1">
      <x v="49"/>
    </i>
    <i>
      <x v="45"/>
    </i>
    <i r="1">
      <x v="49"/>
    </i>
    <i>
      <x v="46"/>
    </i>
    <i r="1">
      <x v="49"/>
    </i>
    <i>
      <x v="47"/>
    </i>
    <i r="1">
      <x v="49"/>
    </i>
    <i>
      <x v="48"/>
    </i>
    <i r="1">
      <x v="49"/>
    </i>
    <i>
      <x v="49"/>
    </i>
    <i r="1">
      <x v="49"/>
    </i>
    <i>
      <x v="50"/>
    </i>
    <i r="1">
      <x v="49"/>
    </i>
    <i>
      <x v="51"/>
    </i>
    <i r="1">
      <x v="46"/>
    </i>
    <i>
      <x v="52"/>
    </i>
    <i>
      <x v="53"/>
    </i>
    <i r="1">
      <x v="49"/>
    </i>
    <i>
      <x v="54"/>
    </i>
    <i r="1">
      <x v="49"/>
    </i>
    <i>
      <x v="55"/>
    </i>
    <i r="1">
      <x v="49"/>
    </i>
    <i>
      <x v="56"/>
    </i>
    <i r="1">
      <x v="49"/>
    </i>
    <i>
      <x v="57"/>
    </i>
    <i r="1">
      <x v="49"/>
    </i>
    <i>
      <x v="58"/>
    </i>
    <i r="1">
      <x v="49"/>
    </i>
    <i>
      <x v="59"/>
    </i>
    <i r="1">
      <x v="49"/>
    </i>
    <i>
      <x v="60"/>
    </i>
    <i r="1">
      <x v="49"/>
    </i>
    <i>
      <x v="61"/>
    </i>
    <i r="1">
      <x v="49"/>
    </i>
    <i>
      <x v="62"/>
    </i>
    <i r="1">
      <x v="49"/>
    </i>
    <i>
      <x v="63"/>
    </i>
    <i r="1">
      <x v="49"/>
    </i>
    <i>
      <x v="64"/>
    </i>
    <i r="1">
      <x v="49"/>
    </i>
    <i>
      <x v="65"/>
    </i>
    <i r="1">
      <x v="49"/>
    </i>
    <i>
      <x v="66"/>
    </i>
    <i r="1">
      <x v="49"/>
    </i>
    <i>
      <x v="67"/>
    </i>
    <i r="1">
      <x v="49"/>
    </i>
    <i>
      <x v="68"/>
    </i>
    <i r="1">
      <x v="49"/>
    </i>
    <i>
      <x v="69"/>
    </i>
    <i r="1">
      <x v="49"/>
    </i>
    <i>
      <x v="70"/>
    </i>
    <i r="1">
      <x v="49"/>
    </i>
    <i>
      <x v="71"/>
    </i>
    <i r="1">
      <x v="49"/>
    </i>
    <i>
      <x v="72"/>
    </i>
    <i r="1">
      <x v="49"/>
    </i>
    <i>
      <x v="73"/>
    </i>
    <i r="1">
      <x v="49"/>
    </i>
    <i>
      <x v="74"/>
    </i>
    <i r="1">
      <x v="49"/>
    </i>
    <i>
      <x v="75"/>
    </i>
    <i r="1">
      <x v="49"/>
    </i>
    <i>
      <x v="76"/>
    </i>
    <i r="1">
      <x v="49"/>
    </i>
    <i>
      <x v="77"/>
    </i>
    <i r="1">
      <x v="49"/>
    </i>
    <i>
      <x v="78"/>
    </i>
    <i r="1">
      <x v="49"/>
    </i>
    <i>
      <x v="79"/>
    </i>
    <i r="1">
      <x v="49"/>
    </i>
    <i>
      <x v="80"/>
    </i>
    <i r="1">
      <x v="49"/>
    </i>
    <i>
      <x v="81"/>
    </i>
    <i r="1">
      <x v="49"/>
    </i>
    <i>
      <x v="82"/>
    </i>
    <i r="1">
      <x v="49"/>
    </i>
    <i>
      <x v="83"/>
    </i>
    <i r="1">
      <x v="49"/>
    </i>
    <i>
      <x v="84"/>
    </i>
    <i r="1">
      <x v="49"/>
    </i>
    <i>
      <x v="85"/>
    </i>
    <i r="1">
      <x v="23"/>
    </i>
    <i>
      <x v="86"/>
    </i>
    <i r="1">
      <x v="49"/>
    </i>
    <i>
      <x v="87"/>
    </i>
    <i r="1">
      <x v="49"/>
    </i>
    <i>
      <x v="88"/>
    </i>
    <i r="1">
      <x v="43"/>
    </i>
    <i>
      <x v="89"/>
    </i>
    <i r="1">
      <x v="49"/>
    </i>
    <i>
      <x v="90"/>
    </i>
    <i r="1">
      <x v="49"/>
    </i>
    <i>
      <x v="91"/>
    </i>
    <i r="1">
      <x v="49"/>
    </i>
    <i>
      <x v="92"/>
    </i>
    <i r="1">
      <x v="49"/>
    </i>
    <i>
      <x v="93"/>
    </i>
    <i r="1">
      <x v="49"/>
    </i>
    <i>
      <x v="94"/>
    </i>
    <i r="1">
      <x v="49"/>
    </i>
    <i>
      <x v="95"/>
    </i>
    <i r="1">
      <x v="49"/>
    </i>
    <i>
      <x v="96"/>
    </i>
    <i r="1">
      <x v="49"/>
    </i>
    <i>
      <x v="97"/>
    </i>
    <i r="1">
      <x v="49"/>
    </i>
    <i>
      <x v="98"/>
    </i>
    <i r="1">
      <x v="49"/>
    </i>
    <i>
      <x v="99"/>
    </i>
    <i r="1">
      <x v="49"/>
    </i>
    <i>
      <x v="100"/>
    </i>
    <i r="1">
      <x v="49"/>
    </i>
    <i>
      <x v="101"/>
    </i>
    <i r="1">
      <x v="49"/>
    </i>
    <i>
      <x v="102"/>
    </i>
    <i r="1">
      <x v="49"/>
    </i>
    <i>
      <x v="103"/>
    </i>
    <i r="1">
      <x v="49"/>
    </i>
    <i>
      <x v="104"/>
    </i>
    <i r="1">
      <x v="49"/>
    </i>
    <i>
      <x v="105"/>
    </i>
    <i r="1">
      <x v="49"/>
    </i>
    <i>
      <x v="106"/>
    </i>
    <i r="1">
      <x v="49"/>
    </i>
    <i>
      <x v="107"/>
    </i>
    <i r="1">
      <x v="49"/>
    </i>
    <i>
      <x v="108"/>
    </i>
    <i r="1">
      <x v="49"/>
    </i>
    <i>
      <x v="109"/>
    </i>
    <i r="1">
      <x v="49"/>
    </i>
    <i>
      <x v="110"/>
    </i>
    <i r="1">
      <x v="49"/>
    </i>
    <i>
      <x v="111"/>
    </i>
    <i r="1">
      <x v="49"/>
    </i>
    <i>
      <x v="112"/>
    </i>
    <i r="1">
      <x v="49"/>
    </i>
    <i>
      <x v="113"/>
    </i>
    <i r="1">
      <x v="49"/>
    </i>
    <i>
      <x v="114"/>
    </i>
    <i r="1">
      <x v="49"/>
    </i>
    <i>
      <x v="115"/>
    </i>
    <i r="1">
      <x v="49"/>
    </i>
    <i>
      <x v="116"/>
    </i>
    <i r="1">
      <x v="49"/>
    </i>
    <i>
      <x v="117"/>
    </i>
    <i r="1">
      <x v="49"/>
    </i>
    <i>
      <x v="118"/>
    </i>
    <i r="1">
      <x v="49"/>
    </i>
    <i>
      <x v="119"/>
    </i>
    <i r="1">
      <x v="12"/>
    </i>
    <i>
      <x v="120"/>
    </i>
    <i r="1">
      <x v="49"/>
    </i>
    <i>
      <x v="121"/>
    </i>
    <i r="1">
      <x v="49"/>
    </i>
    <i>
      <x v="122"/>
    </i>
    <i r="1">
      <x v="49"/>
    </i>
    <i>
      <x v="123"/>
    </i>
    <i r="1">
      <x v="49"/>
    </i>
    <i>
      <x v="124"/>
    </i>
    <i r="1">
      <x v="49"/>
    </i>
    <i>
      <x v="125"/>
    </i>
    <i r="1">
      <x v="49"/>
    </i>
    <i>
      <x v="126"/>
    </i>
    <i r="1">
      <x v="49"/>
    </i>
    <i>
      <x v="127"/>
    </i>
    <i r="1">
      <x v="49"/>
    </i>
    <i>
      <x v="128"/>
    </i>
    <i r="1">
      <x v="49"/>
    </i>
    <i>
      <x v="129"/>
    </i>
    <i r="1">
      <x v="49"/>
    </i>
    <i>
      <x v="130"/>
    </i>
    <i r="1">
      <x v="49"/>
    </i>
    <i>
      <x v="131"/>
    </i>
    <i r="1">
      <x v="49"/>
    </i>
    <i>
      <x v="132"/>
    </i>
    <i r="1">
      <x v="49"/>
    </i>
    <i>
      <x v="133"/>
    </i>
    <i r="1">
      <x v="49"/>
    </i>
    <i>
      <x v="134"/>
    </i>
    <i r="1">
      <x v="49"/>
    </i>
    <i>
      <x v="135"/>
    </i>
    <i r="1">
      <x v="49"/>
    </i>
    <i>
      <x v="136"/>
    </i>
    <i r="1">
      <x v="49"/>
    </i>
    <i>
      <x v="137"/>
    </i>
    <i r="1">
      <x v="49"/>
    </i>
    <i>
      <x v="138"/>
    </i>
    <i r="1">
      <x v="49"/>
    </i>
    <i>
      <x v="139"/>
    </i>
    <i r="1">
      <x v="49"/>
    </i>
    <i>
      <x v="140"/>
    </i>
    <i r="1">
      <x v="49"/>
    </i>
    <i>
      <x v="141"/>
    </i>
    <i r="1">
      <x v="49"/>
    </i>
    <i>
      <x v="142"/>
    </i>
    <i r="1">
      <x v="49"/>
    </i>
    <i>
      <x v="143"/>
    </i>
    <i r="1">
      <x v="49"/>
    </i>
    <i>
      <x v="144"/>
    </i>
    <i r="1">
      <x v="49"/>
    </i>
    <i>
      <x v="145"/>
    </i>
    <i r="1">
      <x v="49"/>
    </i>
    <i>
      <x v="146"/>
    </i>
    <i r="1">
      <x v="49"/>
    </i>
    <i>
      <x v="147"/>
    </i>
    <i r="1">
      <x v="49"/>
    </i>
    <i>
      <x v="148"/>
    </i>
    <i r="1">
      <x v="2"/>
    </i>
    <i>
      <x v="149"/>
    </i>
    <i r="1">
      <x v="11"/>
    </i>
    <i>
      <x v="150"/>
    </i>
    <i r="1">
      <x v="47"/>
    </i>
    <i>
      <x v="151"/>
    </i>
    <i r="1">
      <x v="49"/>
    </i>
    <i>
      <x v="152"/>
    </i>
    <i r="1">
      <x v="49"/>
    </i>
    <i>
      <x v="153"/>
    </i>
    <i r="1">
      <x v="49"/>
    </i>
    <i>
      <x v="154"/>
    </i>
    <i r="1">
      <x v="49"/>
    </i>
    <i>
      <x v="155"/>
    </i>
    <i r="1">
      <x v="49"/>
    </i>
    <i>
      <x v="156"/>
    </i>
    <i r="1">
      <x v="49"/>
    </i>
    <i>
      <x v="157"/>
    </i>
    <i r="1">
      <x v="49"/>
    </i>
    <i>
      <x v="158"/>
    </i>
    <i r="1">
      <x v="49"/>
    </i>
    <i>
      <x v="159"/>
    </i>
    <i r="1">
      <x v="49"/>
    </i>
    <i>
      <x v="160"/>
    </i>
    <i r="1">
      <x v="49"/>
    </i>
    <i>
      <x v="161"/>
    </i>
    <i r="1">
      <x v="49"/>
    </i>
    <i>
      <x v="162"/>
    </i>
    <i r="1">
      <x v="49"/>
    </i>
    <i>
      <x v="163"/>
    </i>
    <i r="1">
      <x v="49"/>
    </i>
    <i>
      <x v="164"/>
    </i>
    <i r="1">
      <x v="49"/>
    </i>
    <i>
      <x v="165"/>
    </i>
    <i r="1">
      <x v="49"/>
    </i>
    <i>
      <x v="166"/>
    </i>
    <i r="1">
      <x v="49"/>
    </i>
    <i>
      <x v="167"/>
    </i>
    <i r="1">
      <x v="49"/>
    </i>
    <i>
      <x v="168"/>
    </i>
    <i r="1">
      <x v="49"/>
    </i>
    <i>
      <x v="169"/>
    </i>
    <i r="1">
      <x v="49"/>
    </i>
    <i>
      <x v="170"/>
    </i>
    <i r="1">
      <x v="49"/>
    </i>
    <i>
      <x v="171"/>
    </i>
    <i r="1">
      <x v="49"/>
    </i>
    <i>
      <x v="172"/>
    </i>
    <i r="1">
      <x v="49"/>
    </i>
    <i>
      <x v="173"/>
    </i>
    <i r="1">
      <x v="49"/>
    </i>
    <i>
      <x v="174"/>
    </i>
    <i r="1">
      <x v="49"/>
    </i>
    <i>
      <x v="175"/>
    </i>
    <i r="1">
      <x v="49"/>
    </i>
    <i>
      <x v="176"/>
    </i>
    <i r="1">
      <x v="49"/>
    </i>
    <i>
      <x v="177"/>
    </i>
    <i r="1">
      <x v="49"/>
    </i>
    <i>
      <x v="178"/>
    </i>
    <i r="1">
      <x v="49"/>
    </i>
    <i>
      <x v="179"/>
    </i>
    <i r="1">
      <x v="49"/>
    </i>
    <i>
      <x v="180"/>
    </i>
    <i r="1">
      <x v="49"/>
    </i>
    <i>
      <x v="181"/>
    </i>
    <i r="1">
      <x v="49"/>
    </i>
    <i>
      <x v="182"/>
    </i>
    <i r="1">
      <x v="49"/>
    </i>
    <i>
      <x v="183"/>
    </i>
    <i r="1">
      <x v="49"/>
    </i>
    <i>
      <x v="184"/>
    </i>
    <i r="1">
      <x v="49"/>
    </i>
    <i>
      <x v="185"/>
    </i>
    <i r="1">
      <x v="49"/>
    </i>
    <i>
      <x v="186"/>
    </i>
    <i r="1">
      <x v="49"/>
    </i>
    <i>
      <x v="187"/>
    </i>
    <i r="1">
      <x v="49"/>
    </i>
    <i>
      <x v="188"/>
    </i>
    <i r="1">
      <x v="49"/>
    </i>
    <i>
      <x v="189"/>
    </i>
    <i r="1">
      <x v="49"/>
    </i>
    <i>
      <x v="190"/>
    </i>
    <i r="1">
      <x v="49"/>
    </i>
    <i>
      <x v="191"/>
    </i>
    <i r="1">
      <x v="49"/>
    </i>
    <i>
      <x v="192"/>
    </i>
    <i r="1">
      <x v="49"/>
    </i>
    <i>
      <x v="193"/>
    </i>
    <i r="1">
      <x v="49"/>
    </i>
    <i>
      <x v="194"/>
    </i>
    <i r="1">
      <x v="49"/>
    </i>
    <i>
      <x v="195"/>
    </i>
    <i r="1">
      <x v="49"/>
    </i>
    <i>
      <x v="196"/>
    </i>
    <i r="1">
      <x v="49"/>
    </i>
    <i>
      <x v="197"/>
    </i>
    <i r="1">
      <x v="49"/>
    </i>
    <i>
      <x v="198"/>
    </i>
    <i r="1">
      <x v="49"/>
    </i>
    <i>
      <x v="199"/>
    </i>
    <i r="1">
      <x v="49"/>
    </i>
    <i>
      <x v="200"/>
    </i>
    <i r="1">
      <x v="49"/>
    </i>
    <i>
      <x v="201"/>
    </i>
    <i r="1">
      <x v="49"/>
    </i>
    <i>
      <x v="202"/>
    </i>
    <i r="1">
      <x v="49"/>
    </i>
    <i>
      <x v="203"/>
    </i>
    <i r="1">
      <x v="49"/>
    </i>
    <i>
      <x v="204"/>
    </i>
    <i r="1">
      <x v="41"/>
    </i>
    <i>
      <x v="205"/>
    </i>
    <i r="1">
      <x v="49"/>
    </i>
    <i>
      <x v="206"/>
    </i>
    <i r="1">
      <x v="49"/>
    </i>
    <i>
      <x v="207"/>
    </i>
    <i r="1">
      <x v="49"/>
    </i>
    <i>
      <x v="208"/>
    </i>
    <i r="1">
      <x v="49"/>
    </i>
    <i>
      <x v="209"/>
    </i>
    <i r="1">
      <x v="49"/>
    </i>
    <i>
      <x v="210"/>
    </i>
    <i r="1">
      <x v="49"/>
    </i>
    <i>
      <x v="211"/>
    </i>
    <i r="1">
      <x v="49"/>
    </i>
    <i>
      <x v="212"/>
    </i>
    <i r="1">
      <x v="49"/>
    </i>
    <i>
      <x v="213"/>
    </i>
    <i r="1">
      <x v="49"/>
    </i>
    <i>
      <x v="214"/>
    </i>
    <i r="1">
      <x v="49"/>
    </i>
    <i>
      <x v="215"/>
    </i>
    <i r="1">
      <x v="49"/>
    </i>
    <i>
      <x v="216"/>
    </i>
    <i r="1">
      <x v="49"/>
    </i>
    <i>
      <x v="217"/>
    </i>
    <i r="1">
      <x v="49"/>
    </i>
    <i>
      <x v="218"/>
    </i>
    <i r="1">
      <x v="49"/>
    </i>
    <i>
      <x v="219"/>
    </i>
    <i r="1">
      <x v="49"/>
    </i>
    <i>
      <x v="220"/>
    </i>
    <i r="1">
      <x v="49"/>
    </i>
    <i>
      <x v="221"/>
    </i>
    <i r="1">
      <x v="49"/>
    </i>
    <i>
      <x v="222"/>
    </i>
    <i r="1">
      <x v="29"/>
    </i>
    <i>
      <x v="223"/>
    </i>
    <i r="1">
      <x v="49"/>
    </i>
    <i>
      <x v="224"/>
    </i>
    <i r="1">
      <x v="49"/>
    </i>
    <i>
      <x v="225"/>
    </i>
    <i r="1">
      <x v="49"/>
    </i>
    <i>
      <x v="226"/>
    </i>
    <i r="1">
      <x v="49"/>
    </i>
    <i>
      <x v="227"/>
    </i>
    <i r="1">
      <x v="49"/>
    </i>
    <i>
      <x v="228"/>
    </i>
    <i r="1">
      <x v="49"/>
    </i>
    <i>
      <x v="229"/>
    </i>
    <i r="1">
      <x v="49"/>
    </i>
    <i>
      <x v="230"/>
    </i>
    <i r="1">
      <x v="49"/>
    </i>
    <i>
      <x v="231"/>
    </i>
    <i r="1">
      <x v="49"/>
    </i>
    <i>
      <x v="232"/>
    </i>
    <i r="1">
      <x v="49"/>
    </i>
    <i>
      <x v="233"/>
    </i>
    <i r="1">
      <x v="49"/>
    </i>
    <i>
      <x v="234"/>
    </i>
    <i r="1">
      <x v="49"/>
    </i>
    <i>
      <x v="235"/>
    </i>
    <i r="1">
      <x v="49"/>
    </i>
    <i>
      <x v="236"/>
    </i>
    <i r="1">
      <x v="49"/>
    </i>
    <i>
      <x v="237"/>
    </i>
    <i r="1">
      <x v="49"/>
    </i>
    <i>
      <x v="238"/>
    </i>
    <i r="1">
      <x v="49"/>
    </i>
    <i>
      <x v="239"/>
    </i>
    <i r="1">
      <x v="49"/>
    </i>
    <i>
      <x v="240"/>
    </i>
    <i r="1">
      <x v="14"/>
    </i>
    <i>
      <x v="241"/>
    </i>
    <i r="1">
      <x v="49"/>
    </i>
    <i>
      <x v="242"/>
    </i>
    <i r="1">
      <x v="49"/>
    </i>
    <i>
      <x v="243"/>
    </i>
    <i r="1">
      <x v="49"/>
    </i>
    <i>
      <x v="244"/>
    </i>
    <i r="1">
      <x v="49"/>
    </i>
    <i>
      <x v="245"/>
    </i>
    <i r="1">
      <x v="9"/>
    </i>
    <i>
      <x v="246"/>
    </i>
    <i r="1">
      <x v="49"/>
    </i>
    <i>
      <x v="247"/>
    </i>
    <i r="1">
      <x v="49"/>
    </i>
    <i>
      <x v="248"/>
    </i>
    <i r="1">
      <x v="49"/>
    </i>
    <i>
      <x v="249"/>
    </i>
    <i r="1">
      <x v="49"/>
    </i>
    <i>
      <x v="250"/>
    </i>
    <i r="1">
      <x v="49"/>
    </i>
    <i>
      <x v="251"/>
    </i>
    <i r="1">
      <x v="49"/>
    </i>
    <i>
      <x v="252"/>
    </i>
    <i r="1">
      <x v="49"/>
    </i>
    <i>
      <x v="253"/>
    </i>
    <i r="1">
      <x v="49"/>
    </i>
    <i>
      <x v="254"/>
    </i>
    <i r="1">
      <x v="49"/>
    </i>
    <i>
      <x v="255"/>
    </i>
    <i r="1">
      <x v="49"/>
    </i>
    <i>
      <x v="256"/>
    </i>
    <i r="1">
      <x v="49"/>
    </i>
    <i>
      <x v="257"/>
    </i>
    <i r="1">
      <x v="49"/>
    </i>
    <i>
      <x v="258"/>
    </i>
    <i r="1">
      <x v="49"/>
    </i>
    <i>
      <x v="259"/>
    </i>
    <i r="1">
      <x v="49"/>
    </i>
    <i>
      <x v="260"/>
    </i>
    <i r="1">
      <x v="49"/>
    </i>
    <i>
      <x v="261"/>
    </i>
    <i r="1">
      <x v="49"/>
    </i>
    <i>
      <x v="262"/>
    </i>
    <i r="1">
      <x v="49"/>
    </i>
    <i>
      <x v="263"/>
    </i>
    <i r="1">
      <x v="49"/>
    </i>
    <i>
      <x v="264"/>
    </i>
    <i r="1">
      <x v="49"/>
    </i>
    <i>
      <x v="265"/>
    </i>
    <i r="1">
      <x v="49"/>
    </i>
    <i>
      <x v="266"/>
    </i>
    <i r="1">
      <x v="49"/>
    </i>
    <i>
      <x v="267"/>
    </i>
    <i r="1">
      <x v="49"/>
    </i>
    <i>
      <x v="268"/>
    </i>
    <i r="1">
      <x v="49"/>
    </i>
    <i>
      <x v="269"/>
    </i>
    <i r="1">
      <x v="49"/>
    </i>
    <i>
      <x v="270"/>
    </i>
    <i r="1">
      <x v="49"/>
    </i>
    <i>
      <x v="271"/>
    </i>
    <i r="1">
      <x v="49"/>
    </i>
    <i>
      <x v="272"/>
    </i>
    <i r="1">
      <x v="49"/>
    </i>
    <i>
      <x v="273"/>
    </i>
    <i r="1">
      <x v="49"/>
    </i>
    <i>
      <x v="274"/>
    </i>
    <i r="1">
      <x v="49"/>
    </i>
    <i>
      <x v="275"/>
    </i>
    <i r="1">
      <x v="49"/>
    </i>
    <i>
      <x v="276"/>
    </i>
    <i r="1">
      <x v="49"/>
    </i>
    <i>
      <x v="277"/>
    </i>
    <i r="1">
      <x v="49"/>
    </i>
    <i>
      <x v="278"/>
    </i>
    <i r="1">
      <x v="49"/>
    </i>
    <i>
      <x v="279"/>
    </i>
    <i r="1">
      <x v="49"/>
    </i>
    <i>
      <x v="280"/>
    </i>
    <i r="1">
      <x v="49"/>
    </i>
    <i>
      <x v="281"/>
    </i>
    <i r="1">
      <x v="49"/>
    </i>
    <i>
      <x v="282"/>
    </i>
    <i r="1">
      <x v="49"/>
    </i>
    <i>
      <x v="283"/>
    </i>
    <i r="1">
      <x v="49"/>
    </i>
    <i>
      <x v="284"/>
    </i>
    <i r="1">
      <x v="49"/>
    </i>
    <i>
      <x v="285"/>
    </i>
    <i r="1">
      <x v="49"/>
    </i>
    <i>
      <x v="286"/>
    </i>
    <i r="1">
      <x v="49"/>
    </i>
    <i>
      <x v="287"/>
    </i>
    <i r="1">
      <x v="49"/>
    </i>
    <i>
      <x v="288"/>
    </i>
    <i r="1">
      <x v="49"/>
    </i>
    <i>
      <x v="289"/>
    </i>
    <i r="1">
      <x v="49"/>
    </i>
    <i>
      <x v="290"/>
    </i>
    <i r="1">
      <x v="49"/>
    </i>
    <i>
      <x v="291"/>
    </i>
    <i r="1">
      <x v="49"/>
    </i>
    <i>
      <x v="292"/>
    </i>
    <i r="1">
      <x v="49"/>
    </i>
    <i>
      <x v="293"/>
    </i>
    <i r="1">
      <x v="49"/>
    </i>
    <i>
      <x v="294"/>
    </i>
    <i r="1">
      <x v="49"/>
    </i>
    <i>
      <x v="295"/>
    </i>
    <i r="1">
      <x v="49"/>
    </i>
    <i>
      <x v="296"/>
    </i>
    <i r="1">
      <x v="49"/>
    </i>
    <i>
      <x v="297"/>
    </i>
    <i r="1">
      <x v="49"/>
    </i>
    <i>
      <x v="298"/>
    </i>
    <i r="1">
      <x v="49"/>
    </i>
    <i>
      <x v="299"/>
    </i>
    <i r="1">
      <x v="49"/>
    </i>
    <i>
      <x v="300"/>
    </i>
    <i r="1">
      <x v="49"/>
    </i>
    <i>
      <x v="301"/>
    </i>
    <i r="1">
      <x v="49"/>
    </i>
    <i>
      <x v="302"/>
    </i>
    <i r="1">
      <x v="49"/>
    </i>
    <i>
      <x v="303"/>
    </i>
    <i r="1">
      <x v="49"/>
    </i>
    <i>
      <x v="304"/>
    </i>
    <i r="1">
      <x v="49"/>
    </i>
    <i>
      <x v="305"/>
    </i>
    <i r="1">
      <x v="49"/>
    </i>
    <i>
      <x v="306"/>
    </i>
    <i r="1">
      <x v="49"/>
    </i>
    <i>
      <x v="307"/>
    </i>
    <i r="1">
      <x v="49"/>
    </i>
    <i>
      <x v="308"/>
    </i>
    <i r="1">
      <x v="49"/>
    </i>
    <i>
      <x v="309"/>
    </i>
    <i r="1">
      <x v="49"/>
    </i>
    <i>
      <x v="310"/>
    </i>
    <i r="1">
      <x v="49"/>
    </i>
    <i>
      <x v="311"/>
    </i>
    <i r="1">
      <x v="49"/>
    </i>
    <i>
      <x v="312"/>
    </i>
    <i r="1">
      <x v="49"/>
    </i>
    <i>
      <x v="313"/>
    </i>
    <i r="1">
      <x v="49"/>
    </i>
    <i>
      <x v="314"/>
    </i>
    <i r="1">
      <x v="49"/>
    </i>
    <i>
      <x v="315"/>
    </i>
    <i r="1">
      <x v="49"/>
    </i>
    <i>
      <x v="316"/>
    </i>
    <i r="1">
      <x v="49"/>
    </i>
    <i>
      <x v="317"/>
    </i>
    <i r="1">
      <x v="49"/>
    </i>
    <i>
      <x v="318"/>
    </i>
    <i r="1">
      <x v="49"/>
    </i>
    <i>
      <x v="319"/>
    </i>
    <i r="1">
      <x v="49"/>
    </i>
    <i>
      <x v="320"/>
    </i>
    <i r="1">
      <x v="49"/>
    </i>
    <i>
      <x v="321"/>
    </i>
    <i r="1">
      <x v="49"/>
    </i>
    <i>
      <x v="322"/>
    </i>
    <i r="1">
      <x v="49"/>
    </i>
    <i>
      <x v="323"/>
    </i>
    <i r="1">
      <x v="49"/>
    </i>
    <i>
      <x v="324"/>
    </i>
    <i r="1">
      <x v="49"/>
    </i>
    <i>
      <x v="325"/>
    </i>
    <i r="1">
      <x v="49"/>
    </i>
    <i>
      <x v="326"/>
    </i>
    <i r="1">
      <x v="49"/>
    </i>
    <i>
      <x v="327"/>
    </i>
    <i r="1">
      <x v="49"/>
    </i>
    <i>
      <x v="328"/>
    </i>
    <i r="1">
      <x v="49"/>
    </i>
    <i>
      <x v="329"/>
    </i>
    <i r="1">
      <x v="49"/>
    </i>
    <i>
      <x v="330"/>
    </i>
    <i r="1">
      <x v="49"/>
    </i>
    <i>
      <x v="331"/>
    </i>
    <i r="1">
      <x v="49"/>
    </i>
    <i>
      <x v="332"/>
    </i>
    <i r="1">
      <x v="49"/>
    </i>
    <i>
      <x v="333"/>
    </i>
    <i r="1">
      <x v="49"/>
    </i>
    <i>
      <x v="334"/>
    </i>
    <i r="1">
      <x v="49"/>
    </i>
    <i>
      <x v="335"/>
    </i>
    <i r="1">
      <x v="49"/>
    </i>
    <i>
      <x v="336"/>
    </i>
    <i r="1">
      <x v="49"/>
    </i>
    <i>
      <x v="337"/>
    </i>
    <i r="1">
      <x v="49"/>
    </i>
    <i>
      <x v="338"/>
    </i>
    <i r="1">
      <x v="49"/>
    </i>
    <i>
      <x v="339"/>
    </i>
    <i r="1">
      <x v="49"/>
    </i>
    <i>
      <x v="340"/>
    </i>
    <i r="1">
      <x v="49"/>
    </i>
    <i>
      <x v="341"/>
    </i>
    <i r="1">
      <x v="49"/>
    </i>
    <i>
      <x v="342"/>
    </i>
    <i r="1">
      <x v="49"/>
    </i>
    <i>
      <x v="343"/>
    </i>
    <i r="1">
      <x v="49"/>
    </i>
    <i>
      <x v="344"/>
    </i>
    <i r="1">
      <x v="49"/>
    </i>
    <i>
      <x v="345"/>
    </i>
    <i r="1">
      <x v="49"/>
    </i>
    <i>
      <x v="346"/>
    </i>
    <i r="1">
      <x v="49"/>
    </i>
    <i>
      <x v="347"/>
    </i>
    <i r="1">
      <x v="49"/>
    </i>
    <i>
      <x v="348"/>
    </i>
    <i r="1">
      <x v="49"/>
    </i>
    <i>
      <x v="349"/>
    </i>
    <i r="1">
      <x v="49"/>
    </i>
    <i>
      <x v="350"/>
    </i>
    <i r="1">
      <x v="49"/>
    </i>
    <i>
      <x v="351"/>
    </i>
    <i r="1">
      <x v="49"/>
    </i>
    <i>
      <x v="352"/>
    </i>
    <i r="1">
      <x v="49"/>
    </i>
    <i>
      <x v="353"/>
    </i>
    <i r="1">
      <x v="49"/>
    </i>
    <i>
      <x v="354"/>
    </i>
    <i r="1">
      <x v="49"/>
    </i>
    <i>
      <x v="355"/>
    </i>
    <i r="1">
      <x v="49"/>
    </i>
    <i>
      <x v="356"/>
    </i>
    <i r="1">
      <x v="49"/>
    </i>
    <i>
      <x v="357"/>
    </i>
    <i r="1">
      <x v="49"/>
    </i>
    <i>
      <x v="358"/>
    </i>
    <i r="1">
      <x v="49"/>
    </i>
    <i>
      <x v="359"/>
    </i>
    <i r="1">
      <x v="49"/>
    </i>
    <i>
      <x v="360"/>
    </i>
    <i r="1">
      <x v="49"/>
    </i>
    <i>
      <x v="361"/>
    </i>
    <i r="1">
      <x v="6"/>
    </i>
    <i>
      <x v="362"/>
    </i>
    <i r="1">
      <x v="49"/>
    </i>
    <i>
      <x v="363"/>
    </i>
    <i r="1">
      <x v="49"/>
    </i>
    <i>
      <x v="364"/>
    </i>
    <i r="1">
      <x v="49"/>
    </i>
    <i>
      <x v="365"/>
    </i>
    <i r="1">
      <x v="49"/>
    </i>
    <i>
      <x v="366"/>
    </i>
    <i r="1">
      <x v="49"/>
    </i>
    <i>
      <x v="367"/>
    </i>
    <i r="1">
      <x v="49"/>
    </i>
    <i>
      <x v="368"/>
    </i>
    <i r="1">
      <x v="49"/>
    </i>
    <i>
      <x v="369"/>
    </i>
    <i r="1">
      <x v="49"/>
    </i>
    <i>
      <x v="370"/>
    </i>
    <i r="1">
      <x v="49"/>
    </i>
    <i>
      <x v="371"/>
    </i>
    <i r="1">
      <x v="49"/>
    </i>
    <i>
      <x v="372"/>
    </i>
    <i r="1">
      <x v="49"/>
    </i>
    <i>
      <x v="373"/>
    </i>
    <i r="1">
      <x v="49"/>
    </i>
    <i>
      <x v="374"/>
    </i>
    <i r="1">
      <x v="49"/>
    </i>
    <i>
      <x v="375"/>
    </i>
    <i r="1">
      <x v="27"/>
    </i>
    <i>
      <x v="376"/>
    </i>
    <i r="1">
      <x v="49"/>
    </i>
    <i>
      <x v="377"/>
    </i>
    <i r="1">
      <x v="49"/>
    </i>
    <i>
      <x v="378"/>
    </i>
    <i r="1">
      <x v="49"/>
    </i>
    <i>
      <x v="379"/>
    </i>
    <i r="1">
      <x v="49"/>
    </i>
    <i>
      <x v="380"/>
    </i>
    <i r="1">
      <x v="49"/>
    </i>
    <i>
      <x v="381"/>
    </i>
    <i r="1">
      <x v="49"/>
    </i>
    <i>
      <x v="382"/>
    </i>
    <i r="1">
      <x v="49"/>
    </i>
    <i>
      <x v="383"/>
    </i>
    <i r="1">
      <x v="49"/>
    </i>
    <i>
      <x v="384"/>
    </i>
    <i r="1">
      <x v="49"/>
    </i>
    <i>
      <x v="385"/>
    </i>
    <i r="1">
      <x v="49"/>
    </i>
    <i>
      <x v="386"/>
    </i>
    <i r="1">
      <x v="49"/>
    </i>
    <i>
      <x v="387"/>
    </i>
    <i r="1">
      <x v="49"/>
    </i>
    <i>
      <x v="388"/>
    </i>
    <i r="1">
      <x v="18"/>
    </i>
    <i>
      <x v="389"/>
    </i>
    <i r="1">
      <x v="49"/>
    </i>
    <i>
      <x v="390"/>
    </i>
    <i r="1">
      <x v="49"/>
    </i>
    <i>
      <x v="391"/>
    </i>
    <i r="1">
      <x v="49"/>
    </i>
    <i>
      <x v="392"/>
    </i>
    <i r="1">
      <x v="49"/>
    </i>
    <i>
      <x v="393"/>
    </i>
    <i r="1">
      <x v="49"/>
    </i>
    <i>
      <x v="394"/>
    </i>
    <i r="1">
      <x v="49"/>
    </i>
    <i>
      <x v="395"/>
    </i>
    <i r="1">
      <x v="49"/>
    </i>
    <i>
      <x v="396"/>
    </i>
    <i r="1">
      <x v="49"/>
    </i>
    <i>
      <x v="397"/>
    </i>
    <i r="1">
      <x v="49"/>
    </i>
    <i>
      <x v="398"/>
    </i>
    <i r="1">
      <x v="49"/>
    </i>
    <i>
      <x v="399"/>
    </i>
    <i r="1">
      <x v="49"/>
    </i>
    <i>
      <x v="400"/>
    </i>
    <i r="1">
      <x v="49"/>
    </i>
    <i>
      <x v="401"/>
    </i>
    <i r="1">
      <x v="49"/>
    </i>
    <i>
      <x v="402"/>
    </i>
    <i r="1">
      <x v="49"/>
    </i>
    <i>
      <x v="403"/>
    </i>
    <i r="1">
      <x v="49"/>
    </i>
    <i>
      <x v="404"/>
    </i>
    <i r="1">
      <x v="49"/>
    </i>
    <i>
      <x v="405"/>
    </i>
    <i r="1">
      <x v="49"/>
    </i>
    <i>
      <x v="406"/>
    </i>
    <i r="1">
      <x v="49"/>
    </i>
    <i>
      <x v="407"/>
    </i>
    <i r="1">
      <x v="49"/>
    </i>
    <i>
      <x v="408"/>
    </i>
    <i r="1">
      <x v="49"/>
    </i>
    <i>
      <x v="409"/>
    </i>
    <i r="1">
      <x v="49"/>
    </i>
    <i>
      <x v="410"/>
    </i>
    <i r="1">
      <x v="49"/>
    </i>
    <i>
      <x v="411"/>
    </i>
    <i r="1">
      <x v="49"/>
    </i>
    <i>
      <x v="412"/>
    </i>
    <i r="1">
      <x v="49"/>
    </i>
    <i>
      <x v="413"/>
    </i>
    <i r="1">
      <x v="49"/>
    </i>
    <i>
      <x v="414"/>
    </i>
    <i r="1">
      <x v="49"/>
    </i>
    <i>
      <x v="415"/>
    </i>
    <i r="1">
      <x v="49"/>
    </i>
    <i>
      <x v="416"/>
    </i>
    <i r="1">
      <x v="49"/>
    </i>
    <i>
      <x v="417"/>
    </i>
    <i r="1">
      <x v="49"/>
    </i>
    <i>
      <x v="418"/>
    </i>
    <i r="1">
      <x v="49"/>
    </i>
    <i>
      <x v="419"/>
    </i>
    <i r="1">
      <x v="49"/>
    </i>
    <i>
      <x v="420"/>
    </i>
    <i r="1">
      <x v="49"/>
    </i>
    <i>
      <x v="421"/>
    </i>
    <i r="1">
      <x v="49"/>
    </i>
    <i>
      <x v="422"/>
    </i>
    <i r="1">
      <x v="49"/>
    </i>
    <i>
      <x v="423"/>
    </i>
    <i r="1">
      <x v="49"/>
    </i>
    <i>
      <x v="424"/>
    </i>
    <i r="1">
      <x v="49"/>
    </i>
    <i>
      <x v="425"/>
    </i>
    <i r="1">
      <x v="49"/>
    </i>
    <i>
      <x v="426"/>
    </i>
    <i r="1">
      <x v="49"/>
    </i>
    <i>
      <x v="427"/>
    </i>
    <i r="1">
      <x v="49"/>
    </i>
    <i>
      <x v="428"/>
    </i>
    <i r="1">
      <x v="49"/>
    </i>
    <i>
      <x v="429"/>
    </i>
    <i r="1">
      <x v="49"/>
    </i>
    <i>
      <x v="430"/>
    </i>
    <i r="1">
      <x v="49"/>
    </i>
    <i>
      <x v="431"/>
    </i>
    <i r="1">
      <x v="49"/>
    </i>
    <i>
      <x v="432"/>
    </i>
    <i r="1">
      <x v="49"/>
    </i>
    <i>
      <x v="433"/>
    </i>
    <i r="1">
      <x v="49"/>
    </i>
    <i>
      <x v="434"/>
    </i>
    <i r="1">
      <x v="49"/>
    </i>
    <i>
      <x v="435"/>
    </i>
    <i r="1">
      <x v="49"/>
    </i>
    <i>
      <x v="436"/>
    </i>
    <i r="1">
      <x v="49"/>
    </i>
    <i>
      <x v="437"/>
    </i>
    <i r="1">
      <x v="49"/>
    </i>
    <i>
      <x v="438"/>
    </i>
    <i r="1">
      <x v="49"/>
    </i>
    <i>
      <x v="439"/>
    </i>
    <i r="1">
      <x v="49"/>
    </i>
    <i>
      <x v="440"/>
    </i>
    <i r="1">
      <x v="49"/>
    </i>
    <i>
      <x v="441"/>
    </i>
    <i r="1">
      <x v="49"/>
    </i>
    <i>
      <x v="442"/>
    </i>
    <i r="1">
      <x v="49"/>
    </i>
    <i>
      <x v="443"/>
    </i>
    <i r="1">
      <x v="49"/>
    </i>
    <i>
      <x v="444"/>
    </i>
    <i r="1">
      <x v="49"/>
    </i>
    <i>
      <x v="445"/>
    </i>
    <i r="1">
      <x v="39"/>
    </i>
    <i>
      <x v="446"/>
    </i>
    <i r="1">
      <x v="49"/>
    </i>
    <i>
      <x v="447"/>
    </i>
    <i r="1">
      <x v="49"/>
    </i>
    <i>
      <x v="448"/>
    </i>
    <i r="1">
      <x v="49"/>
    </i>
    <i>
      <x v="449"/>
    </i>
    <i r="1">
      <x v="49"/>
    </i>
    <i>
      <x v="450"/>
    </i>
    <i r="1">
      <x v="17"/>
    </i>
    <i>
      <x v="451"/>
    </i>
    <i r="1">
      <x v="49"/>
    </i>
    <i>
      <x v="452"/>
    </i>
    <i r="1">
      <x v="49"/>
    </i>
    <i>
      <x v="453"/>
    </i>
    <i r="1">
      <x v="49"/>
    </i>
    <i>
      <x v="454"/>
    </i>
    <i r="1">
      <x v="49"/>
    </i>
    <i>
      <x v="455"/>
    </i>
    <i r="1">
      <x v="49"/>
    </i>
    <i>
      <x v="456"/>
    </i>
    <i r="1">
      <x v="49"/>
    </i>
    <i>
      <x v="457"/>
    </i>
    <i r="1">
      <x v="49"/>
    </i>
    <i>
      <x v="458"/>
    </i>
    <i r="1">
      <x v="31"/>
    </i>
    <i>
      <x v="459"/>
    </i>
    <i r="1">
      <x v="49"/>
    </i>
    <i>
      <x v="460"/>
    </i>
    <i r="1">
      <x v="49"/>
    </i>
    <i>
      <x v="461"/>
    </i>
    <i r="1">
      <x v="49"/>
    </i>
    <i>
      <x v="462"/>
    </i>
    <i r="1">
      <x v="49"/>
    </i>
    <i>
      <x v="463"/>
    </i>
    <i r="1">
      <x v="49"/>
    </i>
    <i>
      <x v="464"/>
    </i>
    <i r="1">
      <x v="49"/>
    </i>
    <i>
      <x v="465"/>
    </i>
    <i r="1">
      <x v="49"/>
    </i>
    <i>
      <x v="466"/>
    </i>
    <i r="1">
      <x v="49"/>
    </i>
    <i>
      <x v="467"/>
    </i>
    <i r="1">
      <x v="49"/>
    </i>
    <i>
      <x v="468"/>
    </i>
    <i r="1">
      <x v="49"/>
    </i>
    <i>
      <x v="469"/>
    </i>
    <i r="1">
      <x v="49"/>
    </i>
    <i>
      <x v="470"/>
    </i>
    <i r="1">
      <x v="49"/>
    </i>
    <i>
      <x v="471"/>
    </i>
    <i r="1">
      <x v="49"/>
    </i>
    <i>
      <x v="472"/>
    </i>
    <i r="1">
      <x v="49"/>
    </i>
    <i>
      <x v="473"/>
    </i>
    <i r="1">
      <x v="49"/>
    </i>
    <i>
      <x v="474"/>
    </i>
    <i r="1">
      <x v="49"/>
    </i>
    <i>
      <x v="475"/>
    </i>
    <i r="1">
      <x v="49"/>
    </i>
    <i>
      <x v="476"/>
    </i>
    <i r="1">
      <x v="49"/>
    </i>
    <i>
      <x v="477"/>
    </i>
    <i r="1">
      <x v="48"/>
    </i>
    <i>
      <x v="478"/>
    </i>
    <i r="1">
      <x v="49"/>
    </i>
    <i>
      <x v="479"/>
    </i>
    <i r="1">
      <x v="3"/>
    </i>
    <i>
      <x v="480"/>
    </i>
    <i r="1">
      <x v="49"/>
    </i>
    <i>
      <x v="481"/>
    </i>
    <i r="1">
      <x v="21"/>
    </i>
    <i>
      <x v="482"/>
    </i>
    <i r="1">
      <x v="49"/>
    </i>
    <i>
      <x v="483"/>
    </i>
    <i r="1">
      <x v="49"/>
    </i>
    <i>
      <x v="484"/>
    </i>
    <i r="1">
      <x v="49"/>
    </i>
    <i>
      <x v="485"/>
    </i>
    <i r="1">
      <x v="49"/>
    </i>
    <i>
      <x v="486"/>
    </i>
    <i r="1">
      <x v="49"/>
    </i>
    <i>
      <x v="487"/>
    </i>
    <i r="1">
      <x v="49"/>
    </i>
    <i>
      <x v="488"/>
    </i>
    <i r="1">
      <x v="49"/>
    </i>
    <i>
      <x v="489"/>
    </i>
    <i r="1">
      <x v="49"/>
    </i>
    <i>
      <x v="490"/>
    </i>
    <i r="1">
      <x v="49"/>
    </i>
    <i>
      <x v="491"/>
    </i>
    <i r="1">
      <x v="49"/>
    </i>
    <i>
      <x v="492"/>
    </i>
    <i r="1">
      <x v="7"/>
    </i>
    <i>
      <x v="493"/>
    </i>
    <i r="1">
      <x v="49"/>
    </i>
    <i>
      <x v="494"/>
    </i>
    <i r="1">
      <x v="49"/>
    </i>
    <i>
      <x v="495"/>
    </i>
    <i r="1">
      <x v="49"/>
    </i>
    <i>
      <x v="496"/>
    </i>
    <i r="1">
      <x v="49"/>
    </i>
    <i>
      <x v="497"/>
    </i>
    <i r="1">
      <x v="49"/>
    </i>
    <i>
      <x v="498"/>
    </i>
    <i r="1">
      <x v="49"/>
    </i>
    <i>
      <x v="499"/>
    </i>
    <i r="1">
      <x v="49"/>
    </i>
    <i>
      <x v="500"/>
    </i>
    <i r="1">
      <x v="49"/>
    </i>
    <i>
      <x v="501"/>
    </i>
    <i r="1">
      <x v="49"/>
    </i>
    <i>
      <x v="502"/>
    </i>
    <i r="1">
      <x v="49"/>
    </i>
    <i>
      <x v="503"/>
    </i>
    <i r="1">
      <x v="49"/>
    </i>
    <i>
      <x v="504"/>
    </i>
    <i r="1">
      <x v="49"/>
    </i>
    <i>
      <x v="505"/>
    </i>
    <i r="1">
      <x v="49"/>
    </i>
    <i>
      <x v="506"/>
    </i>
    <i r="1">
      <x v="49"/>
    </i>
    <i>
      <x v="507"/>
    </i>
    <i r="1">
      <x v="49"/>
    </i>
    <i>
      <x v="508"/>
    </i>
    <i r="1">
      <x v="49"/>
    </i>
    <i>
      <x v="509"/>
    </i>
    <i r="1">
      <x v="49"/>
    </i>
    <i>
      <x v="510"/>
    </i>
    <i r="1">
      <x v="49"/>
    </i>
    <i>
      <x v="511"/>
    </i>
    <i r="1">
      <x v="49"/>
    </i>
    <i>
      <x v="512"/>
    </i>
    <i r="1">
      <x v="49"/>
    </i>
    <i>
      <x v="513"/>
    </i>
    <i r="1">
      <x v="49"/>
    </i>
    <i>
      <x v="514"/>
    </i>
    <i r="1">
      <x v="49"/>
    </i>
    <i>
      <x v="515"/>
    </i>
    <i r="1">
      <x v="49"/>
    </i>
    <i>
      <x v="516"/>
    </i>
    <i r="1">
      <x v="5"/>
    </i>
    <i>
      <x v="517"/>
    </i>
    <i r="1">
      <x v="49"/>
    </i>
    <i>
      <x v="518"/>
    </i>
    <i r="1">
      <x v="49"/>
    </i>
    <i>
      <x v="519"/>
    </i>
    <i r="1">
      <x v="49"/>
    </i>
    <i>
      <x v="520"/>
    </i>
    <i r="1">
      <x v="49"/>
    </i>
    <i>
      <x v="521"/>
    </i>
    <i r="1">
      <x v="49"/>
    </i>
    <i>
      <x v="522"/>
    </i>
    <i r="1">
      <x v="49"/>
    </i>
    <i>
      <x v="523"/>
    </i>
    <i r="1">
      <x v="49"/>
    </i>
    <i>
      <x v="524"/>
    </i>
    <i r="1">
      <x v="40"/>
    </i>
    <i>
      <x v="525"/>
    </i>
    <i r="1">
      <x v="49"/>
    </i>
    <i>
      <x v="526"/>
    </i>
    <i r="1">
      <x v="49"/>
    </i>
    <i>
      <x v="527"/>
    </i>
    <i r="1">
      <x v="49"/>
    </i>
    <i>
      <x v="528"/>
    </i>
    <i r="1">
      <x v="49"/>
    </i>
    <i>
      <x v="529"/>
    </i>
    <i r="1">
      <x v="49"/>
    </i>
    <i>
      <x v="530"/>
    </i>
    <i r="1">
      <x v="49"/>
    </i>
    <i>
      <x v="531"/>
    </i>
    <i r="1">
      <x v="49"/>
    </i>
    <i>
      <x v="532"/>
    </i>
    <i r="1">
      <x v="37"/>
    </i>
    <i>
      <x v="533"/>
    </i>
    <i r="1">
      <x v="49"/>
    </i>
    <i>
      <x v="534"/>
    </i>
    <i r="1">
      <x v="49"/>
    </i>
    <i>
      <x v="535"/>
    </i>
    <i r="1">
      <x v="49"/>
    </i>
    <i>
      <x v="536"/>
    </i>
    <i r="1">
      <x v="49"/>
    </i>
    <i>
      <x v="537"/>
    </i>
    <i r="1">
      <x v="49"/>
    </i>
    <i>
      <x v="538"/>
    </i>
    <i r="1">
      <x v="49"/>
    </i>
    <i>
      <x v="539"/>
    </i>
    <i r="1">
      <x v="20"/>
    </i>
    <i>
      <x v="540"/>
    </i>
    <i r="1">
      <x v="49"/>
    </i>
    <i>
      <x v="541"/>
    </i>
    <i r="1">
      <x v="49"/>
    </i>
    <i>
      <x v="542"/>
    </i>
    <i r="1">
      <x v="49"/>
    </i>
    <i>
      <x v="543"/>
    </i>
    <i r="1">
      <x v="49"/>
    </i>
    <i>
      <x v="544"/>
    </i>
    <i r="1">
      <x v="49"/>
    </i>
    <i>
      <x v="545"/>
    </i>
    <i r="1">
      <x/>
    </i>
    <i>
      <x v="546"/>
    </i>
    <i r="1">
      <x v="34"/>
    </i>
    <i>
      <x v="547"/>
    </i>
    <i r="1">
      <x v="42"/>
    </i>
    <i>
      <x v="548"/>
    </i>
    <i r="1">
      <x v="49"/>
    </i>
    <i>
      <x v="549"/>
    </i>
    <i r="1">
      <x v="19"/>
    </i>
    <i>
      <x v="550"/>
    </i>
    <i r="1">
      <x v="49"/>
    </i>
    <i>
      <x v="551"/>
    </i>
    <i r="1">
      <x v="49"/>
    </i>
    <i>
      <x v="552"/>
    </i>
    <i r="1">
      <x v="49"/>
    </i>
    <i>
      <x v="553"/>
    </i>
    <i r="1">
      <x v="49"/>
    </i>
    <i>
      <x v="554"/>
    </i>
    <i r="1">
      <x v="49"/>
    </i>
    <i>
      <x v="555"/>
    </i>
    <i r="1">
      <x v="49"/>
    </i>
    <i>
      <x v="556"/>
    </i>
    <i r="1">
      <x v="49"/>
    </i>
    <i>
      <x v="557"/>
    </i>
    <i r="1">
      <x v="49"/>
    </i>
    <i>
      <x v="558"/>
    </i>
    <i r="1">
      <x v="49"/>
    </i>
    <i>
      <x v="559"/>
    </i>
    <i r="1">
      <x v="49"/>
    </i>
    <i>
      <x v="560"/>
    </i>
    <i r="1">
      <x v="49"/>
    </i>
    <i>
      <x v="561"/>
    </i>
    <i r="1">
      <x v="49"/>
    </i>
    <i>
      <x v="562"/>
    </i>
    <i r="1">
      <x v="49"/>
    </i>
    <i>
      <x v="563"/>
    </i>
    <i r="1">
      <x v="49"/>
    </i>
    <i>
      <x v="564"/>
    </i>
    <i r="1">
      <x v="49"/>
    </i>
    <i>
      <x v="565"/>
    </i>
    <i r="1">
      <x v="33"/>
    </i>
    <i>
      <x v="566"/>
    </i>
    <i r="1">
      <x v="49"/>
    </i>
    <i>
      <x v="567"/>
    </i>
    <i r="1">
      <x v="49"/>
    </i>
    <i>
      <x v="568"/>
    </i>
    <i r="1">
      <x v="49"/>
    </i>
    <i>
      <x v="569"/>
    </i>
    <i r="1">
      <x v="49"/>
    </i>
    <i>
      <x v="570"/>
    </i>
    <i r="1">
      <x v="25"/>
    </i>
    <i>
      <x v="571"/>
    </i>
    <i r="1">
      <x v="49"/>
    </i>
    <i>
      <x v="572"/>
    </i>
    <i r="1">
      <x v="49"/>
    </i>
    <i>
      <x v="573"/>
    </i>
    <i r="1">
      <x v="49"/>
    </i>
    <i>
      <x v="574"/>
    </i>
    <i r="1">
      <x v="49"/>
    </i>
    <i>
      <x v="575"/>
    </i>
    <i r="1">
      <x v="36"/>
    </i>
    <i>
      <x v="576"/>
    </i>
    <i r="1">
      <x v="49"/>
    </i>
    <i>
      <x v="577"/>
    </i>
    <i r="1">
      <x v="22"/>
    </i>
    <i>
      <x v="578"/>
    </i>
    <i r="1">
      <x v="49"/>
    </i>
    <i>
      <x v="579"/>
    </i>
    <i r="1">
      <x v="49"/>
    </i>
    <i>
      <x v="580"/>
    </i>
    <i r="1">
      <x v="49"/>
    </i>
    <i>
      <x v="581"/>
    </i>
    <i r="1">
      <x v="49"/>
    </i>
    <i>
      <x v="582"/>
    </i>
    <i r="1">
      <x v="49"/>
    </i>
    <i>
      <x v="583"/>
    </i>
    <i r="1">
      <x v="49"/>
    </i>
    <i>
      <x v="584"/>
    </i>
    <i r="1">
      <x v="49"/>
    </i>
    <i>
      <x v="585"/>
    </i>
    <i r="1">
      <x v="49"/>
    </i>
    <i>
      <x v="586"/>
    </i>
    <i r="1">
      <x v="49"/>
    </i>
    <i>
      <x v="587"/>
    </i>
    <i r="1">
      <x v="49"/>
    </i>
    <i>
      <x v="588"/>
    </i>
    <i r="1">
      <x v="49"/>
    </i>
    <i>
      <x v="589"/>
    </i>
    <i r="1">
      <x v="49"/>
    </i>
    <i>
      <x v="590"/>
    </i>
    <i r="1">
      <x v="49"/>
    </i>
    <i>
      <x v="591"/>
    </i>
    <i r="1">
      <x v="49"/>
    </i>
    <i>
      <x v="592"/>
    </i>
    <i r="1">
      <x v="49"/>
    </i>
    <i>
      <x v="593"/>
    </i>
    <i r="1">
      <x v="49"/>
    </i>
    <i>
      <x v="594"/>
    </i>
    <i r="1">
      <x v="49"/>
    </i>
    <i>
      <x v="595"/>
    </i>
    <i r="1">
      <x v="49"/>
    </i>
    <i>
      <x v="596"/>
    </i>
    <i r="1">
      <x v="49"/>
    </i>
    <i>
      <x v="597"/>
    </i>
    <i r="1">
      <x v="49"/>
    </i>
    <i>
      <x v="598"/>
    </i>
    <i r="1">
      <x v="49"/>
    </i>
    <i>
      <x v="599"/>
    </i>
    <i r="1">
      <x v="30"/>
    </i>
    <i>
      <x v="600"/>
    </i>
    <i r="1">
      <x v="49"/>
    </i>
    <i>
      <x v="601"/>
    </i>
    <i r="1">
      <x v="49"/>
    </i>
    <i>
      <x v="602"/>
    </i>
    <i r="1">
      <x v="49"/>
    </i>
    <i>
      <x v="603"/>
    </i>
    <i r="1">
      <x v="49"/>
    </i>
    <i>
      <x v="604"/>
    </i>
    <i r="1">
      <x v="49"/>
    </i>
    <i>
      <x v="605"/>
    </i>
    <i r="1">
      <x v="49"/>
    </i>
    <i>
      <x v="606"/>
    </i>
    <i r="1">
      <x v="49"/>
    </i>
    <i>
      <x v="607"/>
    </i>
    <i r="1">
      <x v="49"/>
    </i>
    <i>
      <x v="608"/>
    </i>
    <i r="1">
      <x v="49"/>
    </i>
    <i>
      <x v="609"/>
    </i>
    <i r="1">
      <x v="49"/>
    </i>
    <i>
      <x v="610"/>
    </i>
    <i r="1">
      <x v="49"/>
    </i>
    <i>
      <x v="611"/>
    </i>
    <i r="1">
      <x v="49"/>
    </i>
    <i>
      <x v="612"/>
    </i>
    <i r="1">
      <x v="49"/>
    </i>
    <i>
      <x v="613"/>
    </i>
    <i r="1">
      <x v="49"/>
    </i>
    <i>
      <x v="614"/>
    </i>
    <i r="1">
      <x v="49"/>
    </i>
    <i>
      <x v="615"/>
    </i>
    <i r="1">
      <x v="49"/>
    </i>
    <i>
      <x v="616"/>
    </i>
    <i r="1">
      <x v="49"/>
    </i>
    <i>
      <x v="617"/>
    </i>
    <i r="1">
      <x v="49"/>
    </i>
    <i>
      <x v="618"/>
    </i>
    <i r="1">
      <x v="49"/>
    </i>
    <i>
      <x v="619"/>
    </i>
    <i r="1">
      <x v="49"/>
    </i>
    <i>
      <x v="620"/>
    </i>
    <i r="1">
      <x v="44"/>
    </i>
    <i>
      <x v="621"/>
    </i>
    <i r="1">
      <x v="49"/>
    </i>
    <i>
      <x v="622"/>
    </i>
    <i r="1">
      <x v="49"/>
    </i>
    <i>
      <x v="623"/>
    </i>
    <i r="1">
      <x v="49"/>
    </i>
    <i>
      <x v="624"/>
    </i>
    <i r="1">
      <x v="49"/>
    </i>
    <i>
      <x v="625"/>
    </i>
    <i r="1">
      <x v="49"/>
    </i>
    <i>
      <x v="626"/>
    </i>
    <i r="1">
      <x v="49"/>
    </i>
    <i>
      <x v="627"/>
    </i>
    <i r="1">
      <x v="49"/>
    </i>
    <i>
      <x v="628"/>
    </i>
    <i r="1">
      <x v="49"/>
    </i>
    <i>
      <x v="629"/>
    </i>
    <i r="1">
      <x v="49"/>
    </i>
    <i>
      <x v="630"/>
    </i>
    <i r="1">
      <x v="49"/>
    </i>
    <i>
      <x v="631"/>
    </i>
    <i r="1">
      <x v="49"/>
    </i>
    <i>
      <x v="632"/>
    </i>
    <i r="1">
      <x v="49"/>
    </i>
    <i>
      <x v="633"/>
    </i>
    <i r="1">
      <x v="49"/>
    </i>
    <i>
      <x v="634"/>
    </i>
    <i r="1">
      <x v="49"/>
    </i>
    <i>
      <x v="635"/>
    </i>
    <i r="1">
      <x v="49"/>
    </i>
    <i>
      <x v="636"/>
    </i>
    <i r="1">
      <x v="49"/>
    </i>
    <i>
      <x v="637"/>
    </i>
    <i r="1">
      <x v="49"/>
    </i>
    <i>
      <x v="638"/>
    </i>
    <i r="1">
      <x v="49"/>
    </i>
    <i>
      <x v="639"/>
    </i>
    <i r="1">
      <x v="49"/>
    </i>
    <i>
      <x v="640"/>
    </i>
    <i r="1">
      <x v="49"/>
    </i>
    <i>
      <x v="641"/>
    </i>
    <i r="1">
      <x v="49"/>
    </i>
    <i>
      <x v="642"/>
    </i>
    <i r="1">
      <x v="49"/>
    </i>
    <i>
      <x v="643"/>
    </i>
    <i r="1">
      <x v="49"/>
    </i>
    <i>
      <x v="644"/>
    </i>
    <i r="1">
      <x v="49"/>
    </i>
    <i>
      <x v="645"/>
    </i>
    <i r="1">
      <x v="49"/>
    </i>
    <i>
      <x v="646"/>
    </i>
    <i r="1">
      <x v="49"/>
    </i>
    <i>
      <x v="647"/>
    </i>
    <i r="1">
      <x v="49"/>
    </i>
    <i>
      <x v="648"/>
    </i>
    <i r="1">
      <x v="49"/>
    </i>
    <i>
      <x v="649"/>
    </i>
    <i r="1">
      <x v="49"/>
    </i>
    <i>
      <x v="650"/>
    </i>
    <i r="1">
      <x v="49"/>
    </i>
    <i>
      <x v="651"/>
    </i>
    <i r="1">
      <x v="49"/>
    </i>
    <i>
      <x v="652"/>
    </i>
    <i r="1">
      <x v="49"/>
    </i>
    <i>
      <x v="653"/>
    </i>
    <i r="1">
      <x v="49"/>
    </i>
    <i>
      <x v="654"/>
    </i>
    <i r="1">
      <x v="49"/>
    </i>
    <i>
      <x v="655"/>
    </i>
    <i r="1">
      <x v="49"/>
    </i>
    <i>
      <x v="656"/>
    </i>
    <i r="1">
      <x v="49"/>
    </i>
    <i>
      <x v="657"/>
    </i>
    <i r="1">
      <x v="49"/>
    </i>
    <i>
      <x v="658"/>
    </i>
    <i r="1">
      <x v="49"/>
    </i>
    <i>
      <x v="659"/>
    </i>
    <i r="1">
      <x v="49"/>
    </i>
    <i>
      <x v="660"/>
    </i>
    <i r="1">
      <x v="49"/>
    </i>
    <i>
      <x v="661"/>
    </i>
    <i r="1">
      <x v="49"/>
    </i>
    <i>
      <x v="662"/>
    </i>
    <i r="1">
      <x v="49"/>
    </i>
    <i>
      <x v="663"/>
    </i>
    <i r="1">
      <x v="4"/>
    </i>
    <i>
      <x v="664"/>
    </i>
    <i r="1">
      <x v="49"/>
    </i>
    <i>
      <x v="665"/>
    </i>
    <i r="1">
      <x v="49"/>
    </i>
    <i>
      <x v="666"/>
    </i>
    <i r="1">
      <x v="49"/>
    </i>
    <i>
      <x v="667"/>
    </i>
    <i r="1">
      <x v="16"/>
    </i>
    <i>
      <x v="668"/>
    </i>
    <i r="1">
      <x v="49"/>
    </i>
    <i>
      <x v="669"/>
    </i>
    <i r="1">
      <x v="49"/>
    </i>
    <i>
      <x v="670"/>
    </i>
    <i r="1">
      <x v="49"/>
    </i>
    <i>
      <x v="671"/>
    </i>
    <i r="1">
      <x v="49"/>
    </i>
    <i>
      <x v="672"/>
    </i>
    <i r="1">
      <x v="49"/>
    </i>
    <i>
      <x v="673"/>
    </i>
    <i r="1">
      <x v="49"/>
    </i>
    <i>
      <x v="674"/>
    </i>
    <i r="1">
      <x v="49"/>
    </i>
    <i>
      <x v="675"/>
    </i>
    <i r="1">
      <x v="49"/>
    </i>
    <i>
      <x v="676"/>
    </i>
    <i r="1">
      <x v="16"/>
    </i>
    <i>
      <x v="677"/>
    </i>
    <i r="1">
      <x v="49"/>
    </i>
    <i>
      <x v="678"/>
    </i>
    <i r="1">
      <x v="49"/>
    </i>
    <i>
      <x v="679"/>
    </i>
    <i r="1">
      <x v="49"/>
    </i>
    <i>
      <x v="680"/>
    </i>
    <i r="1">
      <x v="49"/>
    </i>
    <i>
      <x v="681"/>
    </i>
    <i r="1">
      <x v="49"/>
    </i>
    <i>
      <x v="682"/>
    </i>
    <i r="1">
      <x v="49"/>
    </i>
    <i>
      <x v="683"/>
    </i>
    <i r="1">
      <x v="49"/>
    </i>
    <i>
      <x v="684"/>
    </i>
    <i r="1">
      <x v="49"/>
    </i>
    <i>
      <x v="685"/>
    </i>
    <i r="1">
      <x v="49"/>
    </i>
    <i>
      <x v="686"/>
    </i>
    <i r="1">
      <x v="49"/>
    </i>
    <i>
      <x v="687"/>
    </i>
    <i r="1">
      <x v="49"/>
    </i>
    <i>
      <x v="688"/>
    </i>
    <i r="1">
      <x v="49"/>
    </i>
    <i>
      <x v="689"/>
    </i>
    <i r="1">
      <x v="49"/>
    </i>
    <i>
      <x v="690"/>
    </i>
    <i r="1">
      <x v="49"/>
    </i>
    <i>
      <x v="691"/>
    </i>
    <i r="1">
      <x v="49"/>
    </i>
    <i>
      <x v="692"/>
    </i>
    <i r="1">
      <x v="49"/>
    </i>
    <i>
      <x v="693"/>
    </i>
    <i r="1">
      <x v="49"/>
    </i>
    <i>
      <x v="694"/>
    </i>
    <i r="1">
      <x v="24"/>
    </i>
    <i>
      <x v="695"/>
    </i>
    <i r="1">
      <x v="49"/>
    </i>
    <i>
      <x v="696"/>
    </i>
    <i r="1">
      <x v="49"/>
    </i>
    <i>
      <x v="697"/>
    </i>
    <i r="1">
      <x v="49"/>
    </i>
    <i>
      <x v="698"/>
    </i>
    <i r="1">
      <x v="49"/>
    </i>
    <i>
      <x v="699"/>
    </i>
    <i r="1">
      <x v="49"/>
    </i>
    <i>
      <x v="700"/>
    </i>
    <i r="1">
      <x v="49"/>
    </i>
    <i>
      <x v="701"/>
    </i>
    <i r="1">
      <x v="49"/>
    </i>
    <i>
      <x v="702"/>
    </i>
    <i r="1">
      <x v="49"/>
    </i>
    <i>
      <x v="703"/>
    </i>
    <i r="1">
      <x v="49"/>
    </i>
    <i>
      <x v="704"/>
    </i>
    <i r="1">
      <x v="49"/>
    </i>
    <i>
      <x v="705"/>
    </i>
    <i r="1">
      <x v="49"/>
    </i>
    <i>
      <x v="706"/>
    </i>
    <i r="1">
      <x v="49"/>
    </i>
    <i>
      <x v="707"/>
    </i>
    <i r="1">
      <x v="49"/>
    </i>
    <i>
      <x v="708"/>
    </i>
    <i r="1">
      <x v="8"/>
    </i>
    <i>
      <x v="709"/>
    </i>
    <i r="1">
      <x v="49"/>
    </i>
    <i>
      <x v="710"/>
    </i>
    <i r="1">
      <x v="49"/>
    </i>
    <i>
      <x v="711"/>
    </i>
    <i r="1">
      <x v="49"/>
    </i>
    <i>
      <x v="712"/>
    </i>
    <i r="1">
      <x v="38"/>
    </i>
    <i>
      <x v="713"/>
    </i>
    <i r="1">
      <x v="49"/>
    </i>
    <i>
      <x v="714"/>
    </i>
    <i r="1">
      <x v="49"/>
    </i>
    <i>
      <x v="715"/>
    </i>
    <i r="1">
      <x v="49"/>
    </i>
    <i>
      <x v="716"/>
    </i>
    <i r="1">
      <x v="49"/>
    </i>
    <i>
      <x v="717"/>
    </i>
    <i r="1">
      <x v="49"/>
    </i>
    <i>
      <x v="718"/>
    </i>
    <i r="1">
      <x v="49"/>
    </i>
    <i>
      <x v="719"/>
    </i>
    <i r="1">
      <x v="49"/>
    </i>
    <i>
      <x v="720"/>
    </i>
    <i r="1">
      <x v="49"/>
    </i>
    <i>
      <x v="721"/>
    </i>
    <i r="1">
      <x v="49"/>
    </i>
    <i>
      <x v="722"/>
    </i>
    <i r="1">
      <x v="49"/>
    </i>
    <i>
      <x v="723"/>
    </i>
    <i r="1">
      <x v="49"/>
    </i>
    <i>
      <x v="724"/>
    </i>
    <i r="1">
      <x v="49"/>
    </i>
    <i>
      <x v="725"/>
    </i>
    <i r="1">
      <x v="49"/>
    </i>
    <i>
      <x v="726"/>
    </i>
    <i r="1">
      <x v="49"/>
    </i>
    <i>
      <x v="727"/>
    </i>
    <i r="1">
      <x v="49"/>
    </i>
    <i>
      <x v="728"/>
    </i>
    <i r="1">
      <x v="49"/>
    </i>
    <i>
      <x v="729"/>
    </i>
    <i r="1">
      <x v="49"/>
    </i>
    <i>
      <x v="730"/>
    </i>
    <i r="1">
      <x v="49"/>
    </i>
    <i>
      <x v="731"/>
    </i>
    <i r="1">
      <x v="49"/>
    </i>
    <i>
      <x v="732"/>
    </i>
    <i r="1">
      <x v="49"/>
    </i>
    <i>
      <x v="733"/>
    </i>
    <i r="1">
      <x v="49"/>
    </i>
    <i>
      <x v="734"/>
    </i>
    <i r="1">
      <x v="49"/>
    </i>
    <i>
      <x v="735"/>
    </i>
    <i r="1">
      <x v="49"/>
    </i>
    <i>
      <x v="736"/>
    </i>
    <i r="1">
      <x v="49"/>
    </i>
    <i>
      <x v="737"/>
    </i>
    <i r="1">
      <x v="49"/>
    </i>
    <i>
      <x v="738"/>
    </i>
    <i r="1">
      <x v="49"/>
    </i>
    <i>
      <x v="739"/>
    </i>
    <i r="1">
      <x v="49"/>
    </i>
    <i>
      <x v="740"/>
    </i>
    <i r="1">
      <x v="49"/>
    </i>
    <i>
      <x v="741"/>
    </i>
    <i r="1">
      <x v="49"/>
    </i>
    <i>
      <x v="742"/>
    </i>
    <i r="1">
      <x v="49"/>
    </i>
    <i>
      <x v="743"/>
    </i>
    <i r="1">
      <x v="49"/>
    </i>
    <i>
      <x v="744"/>
    </i>
    <i r="1">
      <x v="49"/>
    </i>
    <i>
      <x v="745"/>
    </i>
    <i r="1">
      <x v="49"/>
    </i>
    <i>
      <x v="746"/>
    </i>
    <i r="1">
      <x v="49"/>
    </i>
    <i>
      <x v="747"/>
    </i>
    <i r="1">
      <x v="1"/>
    </i>
    <i>
      <x v="748"/>
    </i>
    <i r="1">
      <x v="49"/>
    </i>
    <i>
      <x v="749"/>
    </i>
    <i r="1">
      <x v="49"/>
    </i>
    <i>
      <x v="750"/>
    </i>
    <i r="1">
      <x v="49"/>
    </i>
    <i>
      <x v="751"/>
    </i>
    <i r="1">
      <x v="49"/>
    </i>
    <i>
      <x v="752"/>
    </i>
    <i r="1">
      <x v="49"/>
    </i>
    <i>
      <x v="753"/>
    </i>
    <i r="1">
      <x v="10"/>
    </i>
    <i>
      <x v="754"/>
    </i>
    <i r="1">
      <x v="49"/>
    </i>
    <i>
      <x v="755"/>
    </i>
    <i r="1">
      <x v="49"/>
    </i>
    <i>
      <x v="756"/>
    </i>
    <i r="1">
      <x v="49"/>
    </i>
    <i>
      <x v="757"/>
    </i>
    <i r="1">
      <x v="49"/>
    </i>
    <i>
      <x v="758"/>
    </i>
    <i r="1">
      <x v="49"/>
    </i>
    <i>
      <x v="759"/>
    </i>
    <i r="1">
      <x v="49"/>
    </i>
    <i>
      <x v="760"/>
    </i>
    <i r="1">
      <x v="49"/>
    </i>
    <i>
      <x v="761"/>
    </i>
    <i r="1">
      <x v="2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余额消费" fld="7" baseField="0" baseItem="0"/>
    <dataField name="求和项:券消费" fld="6" baseField="0" baseItem="0"/>
    <dataField name="求和项:总消费" fld="5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数据透视表8" cacheId="0" autoFormatId="1" applyNumberFormats="0" applyBorderFormats="0" applyFontFormats="0" applyPatternFormats="0" applyAlignmentFormats="0" applyWidthHeightFormats="1" dataCaption="值" updatedVersion="5" minRefreshableVersion="3" createdVersion="5" useAutoFormatting="1" compact="0" indent="0" outline="1" compactData="0" outlineData="1" showDrill="1" multipleFieldFilters="0">
  <location ref="A3:D766" firstHeaderRow="0" firstDataRow="1" firstDataCol="1"/>
  <pivotFields count="9">
    <pivotField axis="axisRow" compact="0" showAll="0">
      <items count="764">
        <item x="468"/>
        <item x="316"/>
        <item x="363"/>
        <item x="22"/>
        <item x="280"/>
        <item x="342"/>
        <item x="57"/>
        <item x="646"/>
        <item x="234"/>
        <item x="317"/>
        <item x="612"/>
        <item x="594"/>
        <item x="89"/>
        <item x="597"/>
        <item x="666"/>
        <item x="333"/>
        <item x="613"/>
        <item x="605"/>
        <item x="654"/>
        <item x="304"/>
        <item x="164"/>
        <item x="447"/>
        <item x="140"/>
        <item x="153"/>
        <item x="101"/>
        <item x="414"/>
        <item x="466"/>
        <item x="301"/>
        <item x="423"/>
        <item x="540"/>
        <item x="433"/>
        <item x="724"/>
        <item x="734"/>
        <item x="90"/>
        <item x="670"/>
        <item x="307"/>
        <item x="418"/>
        <item x="74"/>
        <item x="589"/>
        <item x="287"/>
        <item x="709"/>
        <item x="176"/>
        <item x="450"/>
        <item x="328"/>
        <item x="75"/>
        <item x="655"/>
        <item x="562"/>
        <item x="278"/>
        <item x="558"/>
        <item x="385"/>
        <item x="665"/>
        <item x="163"/>
        <item x="425"/>
        <item x="398"/>
        <item x="273"/>
        <item x="104"/>
        <item x="272"/>
        <item x="259"/>
        <item x="226"/>
        <item x="299"/>
        <item x="219"/>
        <item x="344"/>
        <item x="731"/>
        <item x="309"/>
        <item x="679"/>
        <item x="374"/>
        <item x="210"/>
        <item x="131"/>
        <item x="264"/>
        <item x="730"/>
        <item x="449"/>
        <item x="748"/>
        <item x="349"/>
        <item x="746"/>
        <item x="269"/>
        <item x="563"/>
        <item x="227"/>
        <item x="382"/>
        <item x="17"/>
        <item x="367"/>
        <item x="165"/>
        <item x="258"/>
        <item x="5"/>
        <item x="116"/>
        <item x="148"/>
        <item x="11"/>
        <item x="321"/>
        <item x="209"/>
        <item x="185"/>
        <item x="749"/>
        <item x="737"/>
        <item x="162"/>
        <item x="121"/>
        <item x="19"/>
        <item x="475"/>
        <item x="187"/>
        <item x="225"/>
        <item x="685"/>
        <item x="428"/>
        <item x="755"/>
        <item x="223"/>
        <item x="717"/>
        <item x="86"/>
        <item x="158"/>
        <item x="147"/>
        <item x="692"/>
        <item x="635"/>
        <item x="62"/>
        <item x="168"/>
        <item x="228"/>
        <item x="284"/>
        <item x="283"/>
        <item x="673"/>
        <item x="681"/>
        <item x="173"/>
        <item x="150"/>
        <item x="675"/>
        <item x="79"/>
        <item x="353"/>
        <item x="56"/>
        <item x="122"/>
        <item x="348"/>
        <item x="178"/>
        <item x="129"/>
        <item x="199"/>
        <item x="633"/>
        <item x="739"/>
        <item x="318"/>
        <item x="711"/>
        <item x="686"/>
        <item x="690"/>
        <item x="747"/>
        <item x="216"/>
        <item x="361"/>
        <item x="186"/>
        <item x="72"/>
        <item x="93"/>
        <item x="184"/>
        <item x="83"/>
        <item x="156"/>
        <item x="189"/>
        <item x="331"/>
        <item x="682"/>
        <item x="757"/>
        <item x="351"/>
        <item x="141"/>
        <item x="91"/>
        <item x="420"/>
        <item x="67"/>
        <item x="34"/>
        <item x="368"/>
        <item x="262"/>
        <item x="604"/>
        <item x="745"/>
        <item x="310"/>
        <item x="293"/>
        <item x="82"/>
        <item x="218"/>
        <item x="719"/>
        <item x="631"/>
        <item x="26"/>
        <item x="335"/>
        <item x="648"/>
        <item x="65"/>
        <item x="8"/>
        <item x="664"/>
        <item x="497"/>
        <item x="570"/>
        <item x="241"/>
        <item x="6"/>
        <item x="25"/>
        <item x="135"/>
        <item x="32"/>
        <item x="649"/>
        <item x="651"/>
        <item x="97"/>
        <item x="689"/>
        <item x="106"/>
        <item x="732"/>
        <item x="678"/>
        <item x="391"/>
        <item x="683"/>
        <item x="704"/>
        <item x="144"/>
        <item x="617"/>
        <item x="750"/>
        <item x="721"/>
        <item x="214"/>
        <item x="51"/>
        <item x="44"/>
        <item x="638"/>
        <item x="639"/>
        <item x="571"/>
        <item x="261"/>
        <item x="453"/>
        <item x="454"/>
        <item x="585"/>
        <item x="201"/>
        <item x="251"/>
        <item x="213"/>
        <item x="660"/>
        <item x="647"/>
        <item x="671"/>
        <item x="384"/>
        <item x="379"/>
        <item x="324"/>
        <item x="128"/>
        <item x="154"/>
        <item x="593"/>
        <item x="618"/>
        <item x="49"/>
        <item x="170"/>
        <item x="622"/>
        <item x="476"/>
        <item x="620"/>
        <item x="29"/>
        <item x="110"/>
        <item x="134"/>
        <item x="238"/>
        <item x="718"/>
        <item x="149"/>
        <item x="713"/>
        <item x="42"/>
        <item x="60"/>
        <item x="720"/>
        <item x="266"/>
        <item x="66"/>
        <item x="204"/>
        <item x="167"/>
        <item x="268"/>
        <item x="339"/>
        <item x="615"/>
        <item x="78"/>
        <item x="350"/>
        <item x="684"/>
        <item x="55"/>
        <item x="619"/>
        <item x="471"/>
        <item x="15"/>
        <item x="24"/>
        <item x="448"/>
        <item x="628"/>
        <item x="103"/>
        <item x="573"/>
        <item x="566"/>
        <item x="27"/>
        <item x="130"/>
        <item x="179"/>
        <item x="564"/>
        <item x="39"/>
        <item x="87"/>
        <item x="758"/>
        <item x="567"/>
        <item x="127"/>
        <item x="40"/>
        <item x="452"/>
        <item x="257"/>
        <item x="92"/>
        <item x="626"/>
        <item x="248"/>
        <item x="716"/>
        <item x="71"/>
        <item x="217"/>
        <item x="460"/>
        <item x="59"/>
        <item x="356"/>
        <item x="417"/>
        <item x="58"/>
        <item x="124"/>
        <item x="456"/>
        <item x="229"/>
        <item x="190"/>
        <item x="295"/>
        <item x="432"/>
        <item x="394"/>
        <item x="212"/>
        <item x="102"/>
        <item x="285"/>
        <item x="195"/>
        <item x="23"/>
        <item x="155"/>
        <item x="48"/>
        <item x="320"/>
        <item x="95"/>
        <item x="169"/>
        <item x="314"/>
        <item x="109"/>
        <item x="404"/>
        <item x="588"/>
        <item x="308"/>
        <item x="291"/>
        <item x="279"/>
        <item x="46"/>
        <item x="582"/>
        <item x="126"/>
        <item x="54"/>
        <item x="70"/>
        <item x="413"/>
        <item x="311"/>
        <item x="85"/>
        <item x="345"/>
        <item x="369"/>
        <item x="607"/>
        <item x="630"/>
        <item x="132"/>
        <item x="244"/>
        <item x="645"/>
        <item x="197"/>
        <item x="583"/>
        <item x="580"/>
        <item x="50"/>
        <item x="77"/>
        <item x="357"/>
        <item x="288"/>
        <item x="446"/>
        <item x="621"/>
        <item x="643"/>
        <item x="637"/>
        <item x="125"/>
        <item x="84"/>
        <item x="440"/>
        <item x="192"/>
        <item x="61"/>
        <item x="198"/>
        <item x="35"/>
        <item x="282"/>
        <item x="174"/>
        <item x="698"/>
        <item x="105"/>
        <item x="69"/>
        <item x="752"/>
        <item x="239"/>
        <item x="627"/>
        <item x="559"/>
        <item x="80"/>
        <item x="459"/>
        <item x="172"/>
        <item x="572"/>
        <item x="565"/>
        <item x="376"/>
        <item x="313"/>
        <item x="43"/>
        <item x="220"/>
        <item x="14"/>
        <item x="581"/>
        <item x="355"/>
        <item x="644"/>
        <item x="416"/>
        <item x="371"/>
        <item x="616"/>
        <item x="595"/>
        <item x="271"/>
        <item x="712"/>
        <item x="100"/>
        <item x="403"/>
        <item x="625"/>
        <item x="455"/>
        <item x="47"/>
        <item x="574"/>
        <item x="568"/>
        <item x="112"/>
        <item x="434"/>
        <item x="738"/>
        <item x="441"/>
        <item x="699"/>
        <item x="677"/>
        <item x="181"/>
        <item x="632"/>
        <item x="73"/>
        <item x="119"/>
        <item x="88"/>
        <item x="381"/>
        <item x="608"/>
        <item x="474"/>
        <item x="243"/>
        <item x="725"/>
        <item x="52"/>
        <item x="586"/>
        <item x="256"/>
        <item x="396"/>
        <item x="642"/>
        <item x="470"/>
        <item x="276"/>
        <item x="429"/>
        <item x="281"/>
        <item x="115"/>
        <item x="614"/>
        <item x="222"/>
        <item x="761"/>
        <item x="700"/>
        <item x="193"/>
        <item x="208"/>
        <item x="458"/>
        <item x="473"/>
        <item x="143"/>
        <item x="687"/>
        <item x="569"/>
        <item x="260"/>
        <item x="578"/>
        <item x="53"/>
        <item x="111"/>
        <item x="584"/>
        <item x="230"/>
        <item x="138"/>
        <item x="388"/>
        <item x="41"/>
        <item x="688"/>
        <item x="76"/>
        <item x="576"/>
        <item x="107"/>
        <item x="445"/>
        <item x="499"/>
        <item x="160"/>
        <item x="395"/>
        <item x="166"/>
        <item x="702"/>
        <item x="733"/>
        <item x="599"/>
        <item x="182"/>
        <item x="672"/>
        <item x="723"/>
        <item x="400"/>
        <item x="696"/>
        <item x="634"/>
        <item x="415"/>
        <item x="744"/>
        <item x="99"/>
        <item x="579"/>
        <item x="610"/>
        <item x="641"/>
        <item x="624"/>
        <item x="290"/>
        <item x="658"/>
        <item x="221"/>
        <item x="438"/>
        <item x="601"/>
        <item x="252"/>
        <item x="598"/>
        <item x="196"/>
        <item x="705"/>
        <item x="340"/>
        <item x="741"/>
        <item x="760"/>
        <item x="609"/>
        <item x="742"/>
        <item x="364"/>
        <item x="463"/>
        <item x="487"/>
        <item x="237"/>
        <item x="327"/>
        <item x="372"/>
        <item x="397"/>
        <item x="424"/>
        <item x="715"/>
        <item x="726"/>
        <item x="294"/>
        <item x="120"/>
        <item x="508"/>
        <item x="289"/>
        <item x="464"/>
        <item x="254"/>
        <item x="18"/>
        <item x="203"/>
        <item x="611"/>
        <item x="370"/>
        <item x="28"/>
        <item x="94"/>
        <item x="427"/>
        <item x="555"/>
        <item x="469"/>
        <item x="735"/>
        <item x="114"/>
        <item x="375"/>
        <item x="211"/>
        <item x="751"/>
        <item x="484"/>
        <item x="338"/>
        <item x="108"/>
        <item x="756"/>
        <item x="680"/>
        <item x="500"/>
        <item x="4"/>
        <item x="352"/>
        <item x="390"/>
        <item x="358"/>
        <item x="177"/>
        <item x="263"/>
        <item x="662"/>
        <item x="442"/>
        <item x="480"/>
        <item x="740"/>
        <item x="462"/>
        <item x="3"/>
        <item x="539"/>
        <item x="706"/>
        <item x="759"/>
        <item x="551"/>
        <item x="430"/>
        <item x="592"/>
        <item x="531"/>
        <item x="151"/>
        <item x="493"/>
        <item x="516"/>
        <item x="543"/>
        <item x="494"/>
        <item x="509"/>
        <item x="541"/>
        <item x="435"/>
        <item x="544"/>
        <item x="546"/>
        <item x="457"/>
        <item x="305"/>
        <item x="341"/>
        <item x="439"/>
        <item x="528"/>
        <item x="693"/>
        <item x="1"/>
        <item x="636"/>
        <item x="306"/>
        <item x="548"/>
        <item x="697"/>
        <item x="515"/>
        <item x="707"/>
        <item x="535"/>
        <item x="16"/>
        <item x="602"/>
        <item x="701"/>
        <item x="183"/>
        <item x="506"/>
        <item x="492"/>
        <item x="503"/>
        <item x="472"/>
        <item x="188"/>
        <item x="518"/>
        <item x="329"/>
        <item x="489"/>
        <item x="461"/>
        <item x="529"/>
        <item x="513"/>
        <item x="2"/>
        <item x="161"/>
        <item x="245"/>
        <item x="482"/>
        <item x="180"/>
        <item x="343"/>
        <item x="13"/>
        <item x="659"/>
        <item x="142"/>
        <item x="408"/>
        <item x="694"/>
        <item x="319"/>
        <item x="504"/>
        <item x="412"/>
        <item x="532"/>
        <item x="336"/>
        <item x="118"/>
        <item x="488"/>
        <item x="554"/>
        <item x="511"/>
        <item x="553"/>
        <item x="656"/>
        <item x="674"/>
        <item x="330"/>
        <item x="629"/>
        <item x="136"/>
        <item x="9"/>
        <item x="68"/>
        <item x="334"/>
        <item x="526"/>
        <item x="728"/>
        <item x="37"/>
        <item x="547"/>
        <item x="534"/>
        <item x="478"/>
        <item x="325"/>
        <item x="669"/>
        <item x="240"/>
        <item x="159"/>
        <item x="577"/>
        <item x="557"/>
        <item x="536"/>
        <item x="303"/>
        <item x="171"/>
        <item x="729"/>
        <item x="657"/>
        <item x="603"/>
        <item x="542"/>
        <item x="510"/>
        <item x="406"/>
        <item x="591"/>
        <item x="265"/>
        <item x="402"/>
        <item x="537"/>
        <item x="485"/>
        <item x="505"/>
        <item x="292"/>
        <item x="133"/>
        <item x="270"/>
        <item x="298"/>
        <item x="7"/>
        <item x="277"/>
        <item x="483"/>
        <item x="465"/>
        <item x="137"/>
        <item x="10"/>
        <item x="708"/>
        <item x="477"/>
        <item x="359"/>
        <item x="512"/>
        <item x="661"/>
        <item x="533"/>
        <item x="502"/>
        <item x="255"/>
        <item x="527"/>
        <item x="300"/>
        <item x="549"/>
        <item x="530"/>
        <item x="347"/>
        <item x="736"/>
        <item x="486"/>
        <item x="152"/>
        <item x="521"/>
        <item x="312"/>
        <item x="695"/>
        <item x="467"/>
        <item x="496"/>
        <item x="242"/>
        <item x="525"/>
        <item x="337"/>
        <item x="191"/>
        <item x="667"/>
        <item x="246"/>
        <item x="743"/>
        <item x="206"/>
        <item x="754"/>
        <item x="422"/>
        <item x="600"/>
        <item x="236"/>
        <item x="538"/>
        <item x="386"/>
        <item x="366"/>
        <item x="231"/>
        <item x="323"/>
        <item x="623"/>
        <item x="491"/>
        <item x="215"/>
        <item x="495"/>
        <item x="524"/>
        <item x="202"/>
        <item x="332"/>
        <item x="550"/>
        <item x="552"/>
        <item x="380"/>
        <item x="205"/>
        <item x="346"/>
        <item x="250"/>
        <item x="401"/>
        <item x="387"/>
        <item x="253"/>
        <item x="710"/>
        <item x="411"/>
        <item x="590"/>
        <item x="596"/>
        <item x="30"/>
        <item x="297"/>
        <item x="498"/>
        <item x="207"/>
        <item x="668"/>
        <item x="392"/>
        <item x="481"/>
        <item x="117"/>
        <item x="437"/>
        <item x="405"/>
        <item x="409"/>
        <item x="399"/>
        <item x="274"/>
        <item x="365"/>
        <item x="522"/>
        <item x="157"/>
        <item x="520"/>
        <item x="443"/>
        <item x="235"/>
        <item x="407"/>
        <item x="36"/>
        <item x="175"/>
        <item x="501"/>
        <item x="247"/>
        <item x="373"/>
        <item x="714"/>
        <item x="410"/>
        <item x="507"/>
        <item x="517"/>
        <item x="431"/>
        <item x="232"/>
        <item x="31"/>
        <item x="383"/>
        <item x="354"/>
        <item x="233"/>
        <item x="12"/>
        <item x="145"/>
        <item x="249"/>
        <item x="296"/>
        <item x="444"/>
        <item x="753"/>
        <item x="96"/>
        <item x="224"/>
        <item x="267"/>
        <item x="362"/>
        <item x="21"/>
        <item x="378"/>
        <item x="575"/>
        <item x="640"/>
        <item x="33"/>
        <item x="514"/>
        <item x="545"/>
        <item x="650"/>
        <item x="326"/>
        <item x="123"/>
        <item x="560"/>
        <item x="302"/>
        <item x="556"/>
        <item x="315"/>
        <item x="419"/>
        <item x="146"/>
        <item x="389"/>
        <item x="691"/>
        <item x="722"/>
        <item x="200"/>
        <item x="663"/>
        <item x="113"/>
        <item x="653"/>
        <item x="451"/>
        <item x="98"/>
        <item x="64"/>
        <item x="606"/>
        <item x="676"/>
        <item x="727"/>
        <item x="479"/>
        <item x="286"/>
        <item x="519"/>
        <item x="703"/>
        <item x="561"/>
        <item x="377"/>
        <item x="587"/>
        <item x="421"/>
        <item x="81"/>
        <item x="38"/>
        <item x="322"/>
        <item x="523"/>
        <item x="490"/>
        <item x="194"/>
        <item x="45"/>
        <item x="393"/>
        <item x="20"/>
        <item x="139"/>
        <item x="436"/>
        <item x="652"/>
        <item x="360"/>
        <item x="63"/>
        <item x="426"/>
        <item x="275"/>
        <item x="0"/>
        <item m="1" x="762"/>
        <item t="default"/>
      </items>
    </pivotField>
    <pivotField compact="0" showAll="0"/>
    <pivotField compact="0" showAll="0"/>
    <pivotField compact="0" showAll="0"/>
    <pivotField compact="0" showAll="0"/>
    <pivotField dataField="1" compact="0" showAll="0">
      <items count="1024">
        <item x="723"/>
        <item x="895"/>
        <item x="809"/>
        <item x="722"/>
        <item x="721"/>
        <item x="720"/>
        <item x="719"/>
        <item x="718"/>
        <item x="717"/>
        <item x="716"/>
        <item x="715"/>
        <item x="907"/>
        <item x="714"/>
        <item x="713"/>
        <item x="712"/>
        <item x="711"/>
        <item x="710"/>
        <item x="709"/>
        <item x="708"/>
        <item x="707"/>
        <item x="1008"/>
        <item x="706"/>
        <item x="979"/>
        <item x="971"/>
        <item x="761"/>
        <item x="704"/>
        <item x="703"/>
        <item x="702"/>
        <item x="701"/>
        <item x="700"/>
        <item x="1003"/>
        <item x="873"/>
        <item x="699"/>
        <item x="966"/>
        <item x="1022"/>
        <item x="946"/>
        <item x="698"/>
        <item x="697"/>
        <item x="696"/>
        <item x="695"/>
        <item x="724"/>
        <item x="694"/>
        <item x="693"/>
        <item x="692"/>
        <item x="867"/>
        <item x="691"/>
        <item x="689"/>
        <item x="688"/>
        <item x="687"/>
        <item x="686"/>
        <item x="685"/>
        <item x="684"/>
        <item x="683"/>
        <item x="682"/>
        <item x="803"/>
        <item x="1018"/>
        <item x="681"/>
        <item x="680"/>
        <item x="1020"/>
        <item x="864"/>
        <item x="679"/>
        <item x="678"/>
        <item x="675"/>
        <item x="857"/>
        <item x="674"/>
        <item x="992"/>
        <item x="673"/>
        <item x="776"/>
        <item x="672"/>
        <item x="670"/>
        <item x="904"/>
        <item x="669"/>
        <item x="913"/>
        <item x="668"/>
        <item x="667"/>
        <item x="666"/>
        <item x="665"/>
        <item x="959"/>
        <item x="664"/>
        <item x="663"/>
        <item x="662"/>
        <item x="868"/>
        <item x="661"/>
        <item x="660"/>
        <item x="915"/>
        <item x="659"/>
        <item x="658"/>
        <item x="821"/>
        <item x="657"/>
        <item x="655"/>
        <item x="654"/>
        <item x="827"/>
        <item x="891"/>
        <item x="652"/>
        <item x="824"/>
        <item x="850"/>
        <item x="651"/>
        <item x="653"/>
        <item x="650"/>
        <item x="649"/>
        <item x="648"/>
        <item x="811"/>
        <item x="647"/>
        <item x="646"/>
        <item x="984"/>
        <item x="645"/>
        <item x="643"/>
        <item x="952"/>
        <item x="816"/>
        <item x="642"/>
        <item x="641"/>
        <item x="787"/>
        <item x="640"/>
        <item x="639"/>
        <item x="638"/>
        <item x="637"/>
        <item x="636"/>
        <item x="635"/>
        <item x="634"/>
        <item x="1016"/>
        <item x="632"/>
        <item x="631"/>
        <item x="630"/>
        <item x="887"/>
        <item x="890"/>
        <item x="629"/>
        <item x="628"/>
        <item x="627"/>
        <item x="626"/>
        <item x="624"/>
        <item x="1010"/>
        <item x="623"/>
        <item x="622"/>
        <item x="621"/>
        <item x="902"/>
        <item x="620"/>
        <item x="982"/>
        <item x="731"/>
        <item x="618"/>
        <item x="617"/>
        <item x="616"/>
        <item x="615"/>
        <item x="614"/>
        <item x="613"/>
        <item x="612"/>
        <item x="900"/>
        <item x="611"/>
        <item x="610"/>
        <item x="766"/>
        <item x="609"/>
        <item x="953"/>
        <item x="997"/>
        <item x="810"/>
        <item x="608"/>
        <item x="607"/>
        <item x="606"/>
        <item x="605"/>
        <item x="603"/>
        <item x="602"/>
        <item x="601"/>
        <item x="600"/>
        <item x="598"/>
        <item x="597"/>
        <item x="596"/>
        <item x="595"/>
        <item x="599"/>
        <item x="593"/>
        <item x="967"/>
        <item x="906"/>
        <item x="604"/>
        <item x="592"/>
        <item x="591"/>
        <item x="590"/>
        <item x="781"/>
        <item x="589"/>
        <item x="912"/>
        <item x="852"/>
        <item x="586"/>
        <item x="785"/>
        <item x="983"/>
        <item x="583"/>
        <item x="582"/>
        <item x="581"/>
        <item x="580"/>
        <item x="905"/>
        <item x="990"/>
        <item x="843"/>
        <item x="579"/>
        <item x="578"/>
        <item x="818"/>
        <item x="813"/>
        <item x="735"/>
        <item x="576"/>
        <item x="575"/>
        <item x="574"/>
        <item x="888"/>
        <item x="995"/>
        <item x="573"/>
        <item x="572"/>
        <item x="1006"/>
        <item x="571"/>
        <item x="570"/>
        <item x="919"/>
        <item x="569"/>
        <item x="567"/>
        <item x="1007"/>
        <item x="784"/>
        <item x="563"/>
        <item x="560"/>
        <item x="559"/>
        <item x="558"/>
        <item x="557"/>
        <item x="963"/>
        <item x="555"/>
        <item x="812"/>
        <item x="554"/>
        <item x="770"/>
        <item x="553"/>
        <item x="835"/>
        <item x="552"/>
        <item x="550"/>
        <item x="911"/>
        <item x="548"/>
        <item x="547"/>
        <item x="545"/>
        <item x="544"/>
        <item x="841"/>
        <item x="543"/>
        <item x="797"/>
        <item x="542"/>
        <item x="1005"/>
        <item x="541"/>
        <item x="540"/>
        <item x="539"/>
        <item x="537"/>
        <item x="594"/>
        <item x="756"/>
        <item x="796"/>
        <item x="536"/>
        <item x="877"/>
        <item x="535"/>
        <item x="747"/>
        <item x="532"/>
        <item x="531"/>
        <item x="530"/>
        <item x="529"/>
        <item x="528"/>
        <item x="854"/>
        <item x="526"/>
        <item x="538"/>
        <item x="994"/>
        <item x="746"/>
        <item x="727"/>
        <item x="524"/>
        <item x="523"/>
        <item x="779"/>
        <item x="584"/>
        <item x="522"/>
        <item x="521"/>
        <item x="969"/>
        <item x="520"/>
        <item x="519"/>
        <item x="518"/>
        <item x="783"/>
        <item x="880"/>
        <item x="516"/>
        <item x="515"/>
        <item x="514"/>
        <item x="886"/>
        <item x="512"/>
        <item x="511"/>
        <item x="510"/>
        <item x="509"/>
        <item x="823"/>
        <item x="762"/>
        <item x="964"/>
        <item x="875"/>
        <item x="898"/>
        <item x="507"/>
        <item x="513"/>
        <item x="506"/>
        <item x="730"/>
        <item x="865"/>
        <item x="855"/>
        <item x="504"/>
        <item x="503"/>
        <item x="949"/>
        <item x="500"/>
        <item x="845"/>
        <item x="498"/>
        <item x="496"/>
        <item x="764"/>
        <item x="928"/>
        <item x="495"/>
        <item x="977"/>
        <item x="492"/>
        <item x="1011"/>
        <item x="916"/>
        <item x="914"/>
        <item x="1019"/>
        <item x="490"/>
        <item x="489"/>
        <item x="772"/>
        <item x="494"/>
        <item x="924"/>
        <item x="534"/>
        <item x="487"/>
        <item x="961"/>
        <item x="807"/>
        <item x="833"/>
        <item x="922"/>
        <item x="484"/>
        <item x="483"/>
        <item x="1004"/>
        <item x="794"/>
        <item x="767"/>
        <item x="788"/>
        <item x="790"/>
        <item x="480"/>
        <item x="734"/>
        <item x="1015"/>
        <item x="478"/>
        <item x="965"/>
        <item x="848"/>
        <item x="475"/>
        <item x="1001"/>
        <item x="832"/>
        <item x="738"/>
        <item x="472"/>
        <item x="872"/>
        <item x="795"/>
        <item x="471"/>
        <item x="468"/>
        <item x="467"/>
        <item x="466"/>
        <item x="870"/>
        <item x="789"/>
        <item x="782"/>
        <item x="938"/>
        <item x="465"/>
        <item x="464"/>
        <item x="838"/>
        <item x="930"/>
        <item x="462"/>
        <item x="568"/>
        <item x="461"/>
        <item x="460"/>
        <item x="458"/>
        <item x="456"/>
        <item x="564"/>
        <item x="989"/>
        <item x="454"/>
        <item x="453"/>
        <item x="455"/>
        <item x="452"/>
        <item x="769"/>
        <item x="972"/>
        <item x="820"/>
        <item x="927"/>
        <item x="1000"/>
        <item x="744"/>
        <item x="450"/>
        <item x="760"/>
        <item x="742"/>
        <item x="771"/>
        <item x="449"/>
        <item x="447"/>
        <item x="446"/>
        <item x="981"/>
        <item x="445"/>
        <item x="808"/>
        <item x="758"/>
        <item x="444"/>
        <item x="831"/>
        <item x="910"/>
        <item x="777"/>
        <item x="934"/>
        <item x="945"/>
        <item x="892"/>
        <item x="876"/>
        <item x="815"/>
        <item x="883"/>
        <item x="451"/>
        <item x="442"/>
        <item x="968"/>
        <item x="441"/>
        <item x="440"/>
        <item x="439"/>
        <item x="1012"/>
        <item x="437"/>
        <item x="436"/>
        <item x="753"/>
        <item x="757"/>
        <item x="435"/>
        <item x="434"/>
        <item x="433"/>
        <item x="432"/>
        <item x="806"/>
        <item x="431"/>
        <item x="470"/>
        <item x="429"/>
        <item x="773"/>
        <item x="951"/>
        <item x="792"/>
        <item x="428"/>
        <item x="427"/>
        <item x="426"/>
        <item x="956"/>
        <item x="1017"/>
        <item x="931"/>
        <item x="423"/>
        <item x="422"/>
        <item x="791"/>
        <item x="903"/>
        <item x="577"/>
        <item x="799"/>
        <item x="430"/>
        <item x="418"/>
        <item x="417"/>
        <item x="416"/>
        <item x="925"/>
        <item x="414"/>
        <item x="798"/>
        <item x="413"/>
        <item x="499"/>
        <item x="412"/>
        <item x="411"/>
        <item x="410"/>
        <item x="409"/>
        <item x="408"/>
        <item x="802"/>
        <item x="897"/>
        <item x="837"/>
        <item x="745"/>
        <item x="941"/>
        <item x="858"/>
        <item x="840"/>
        <item x="405"/>
        <item x="1021"/>
        <item x="743"/>
        <item x="402"/>
        <item x="403"/>
        <item x="401"/>
        <item x="400"/>
        <item x="406"/>
        <item x="398"/>
        <item x="943"/>
        <item x="851"/>
        <item x="397"/>
        <item x="822"/>
        <item x="396"/>
        <item x="957"/>
        <item x="955"/>
        <item x="395"/>
        <item x="404"/>
        <item x="394"/>
        <item x="976"/>
        <item x="393"/>
        <item x="817"/>
        <item x="392"/>
        <item x="741"/>
        <item x="856"/>
        <item x="390"/>
        <item x="935"/>
        <item x="388"/>
        <item x="937"/>
        <item x="387"/>
        <item x="386"/>
        <item x="725"/>
        <item x="737"/>
        <item x="874"/>
        <item x="739"/>
        <item x="385"/>
        <item x="1013"/>
        <item x="878"/>
        <item x="415"/>
        <item x="656"/>
        <item x="384"/>
        <item x="804"/>
        <item x="383"/>
        <item x="847"/>
        <item x="926"/>
        <item x="382"/>
        <item x="947"/>
        <item x="999"/>
        <item x="885"/>
        <item x="380"/>
        <item x="378"/>
        <item x="377"/>
        <item x="754"/>
        <item x="488"/>
        <item x="533"/>
        <item x="996"/>
        <item x="376"/>
        <item x="375"/>
        <item x="399"/>
        <item x="1014"/>
        <item x="373"/>
        <item x="842"/>
        <item x="759"/>
        <item x="372"/>
        <item x="371"/>
        <item x="936"/>
        <item x="986"/>
        <item x="749"/>
        <item x="370"/>
        <item x="369"/>
        <item x="899"/>
        <item x="368"/>
        <item x="367"/>
        <item x="1002"/>
        <item x="365"/>
        <item x="896"/>
        <item x="364"/>
        <item x="363"/>
        <item x="360"/>
        <item x="359"/>
        <item x="863"/>
        <item x="358"/>
        <item x="357"/>
        <item x="356"/>
        <item x="355"/>
        <item x="354"/>
        <item x="352"/>
        <item x="825"/>
        <item x="350"/>
        <item x="814"/>
        <item x="349"/>
        <item x="752"/>
        <item x="859"/>
        <item x="978"/>
        <item x="361"/>
        <item x="348"/>
        <item x="775"/>
        <item x="346"/>
        <item x="988"/>
        <item x="344"/>
        <item x="343"/>
        <item x="342"/>
        <item x="881"/>
        <item x="347"/>
        <item x="970"/>
        <item x="940"/>
        <item x="830"/>
        <item x="339"/>
        <item x="973"/>
        <item x="726"/>
        <item x="366"/>
        <item x="482"/>
        <item x="819"/>
        <item x="860"/>
        <item x="338"/>
        <item x="987"/>
        <item x="336"/>
        <item x="836"/>
        <item x="527"/>
        <item x="923"/>
        <item x="335"/>
        <item x="828"/>
        <item x="801"/>
        <item x="334"/>
        <item x="918"/>
        <item x="333"/>
        <item x="332"/>
        <item x="331"/>
        <item x="330"/>
        <item x="497"/>
        <item x="329"/>
        <item x="829"/>
        <item x="768"/>
        <item x="328"/>
        <item x="933"/>
        <item x="327"/>
        <item x="326"/>
        <item x="763"/>
        <item x="587"/>
        <item x="324"/>
        <item x="549"/>
        <item x="846"/>
        <item x="323"/>
        <item x="321"/>
        <item x="476"/>
        <item x="320"/>
        <item x="319"/>
        <item x="786"/>
        <item x="942"/>
        <item x="778"/>
        <item x="318"/>
        <item x="853"/>
        <item x="893"/>
        <item x="871"/>
        <item x="960"/>
        <item x="317"/>
        <item x="1009"/>
        <item x="316"/>
        <item x="313"/>
        <item x="312"/>
        <item x="917"/>
        <item x="908"/>
        <item x="311"/>
        <item x="962"/>
        <item x="309"/>
        <item x="728"/>
        <item x="517"/>
        <item x="750"/>
        <item x="306"/>
        <item x="998"/>
        <item x="305"/>
        <item x="705"/>
        <item x="980"/>
        <item x="459"/>
        <item x="424"/>
        <item x="303"/>
        <item x="748"/>
        <item x="325"/>
        <item x="481"/>
        <item x="474"/>
        <item x="298"/>
        <item x="297"/>
        <item x="690"/>
        <item x="295"/>
        <item x="644"/>
        <item x="294"/>
        <item x="293"/>
        <item x="421"/>
        <item x="740"/>
        <item x="301"/>
        <item x="292"/>
        <item x="834"/>
        <item x="443"/>
        <item x="290"/>
        <item x="954"/>
        <item x="561"/>
        <item x="289"/>
        <item x="288"/>
        <item x="556"/>
        <item x="285"/>
        <item x="944"/>
        <item x="284"/>
        <item x="283"/>
        <item x="282"/>
        <item x="281"/>
        <item x="505"/>
        <item x="279"/>
        <item x="508"/>
        <item x="732"/>
        <item x="729"/>
        <item x="278"/>
        <item x="304"/>
        <item x="322"/>
        <item x="275"/>
        <item x="491"/>
        <item x="272"/>
        <item x="271"/>
        <item x="268"/>
        <item x="479"/>
        <item x="477"/>
        <item x="473"/>
        <item x="267"/>
        <item x="950"/>
        <item x="266"/>
        <item x="958"/>
        <item x="457"/>
        <item x="308"/>
        <item x="265"/>
        <item x="894"/>
        <item x="551"/>
        <item x="869"/>
        <item x="262"/>
        <item x="261"/>
        <item x="260"/>
        <item x="259"/>
        <item x="258"/>
        <item x="677"/>
        <item x="676"/>
        <item x="257"/>
        <item x="256"/>
        <item x="671"/>
        <item x="255"/>
        <item x="438"/>
        <item x="625"/>
        <item x="619"/>
        <item x="253"/>
        <item x="252"/>
        <item x="985"/>
        <item x="251"/>
        <item x="546"/>
        <item x="939"/>
        <item x="249"/>
        <item x="420"/>
        <item x="389"/>
        <item x="247"/>
        <item x="286"/>
        <item x="805"/>
        <item x="381"/>
        <item x="276"/>
        <item x="993"/>
        <item x="419"/>
        <item x="307"/>
        <item x="244"/>
        <item x="248"/>
        <item x="879"/>
        <item x="407"/>
        <item x="374"/>
        <item x="241"/>
        <item x="493"/>
        <item x="239"/>
        <item x="751"/>
        <item x="237"/>
        <item x="235"/>
        <item x="310"/>
        <item x="379"/>
        <item x="234"/>
        <item x="901"/>
        <item x="340"/>
        <item x="232"/>
        <item x="231"/>
        <item x="362"/>
        <item x="230"/>
        <item x="229"/>
        <item x="469"/>
        <item x="228"/>
        <item x="353"/>
        <item x="250"/>
        <item x="314"/>
        <item x="246"/>
        <item x="588"/>
        <item x="226"/>
        <item x="337"/>
        <item x="225"/>
        <item x="341"/>
        <item x="909"/>
        <item x="222"/>
        <item x="755"/>
        <item x="221"/>
        <item x="220"/>
        <item x="219"/>
        <item x="315"/>
        <item x="218"/>
        <item x="302"/>
        <item x="217"/>
        <item x="216"/>
        <item x="975"/>
        <item x="299"/>
        <item x="214"/>
        <item x="213"/>
        <item x="296"/>
        <item x="291"/>
        <item x="212"/>
        <item x="463"/>
        <item x="287"/>
        <item x="280"/>
        <item x="211"/>
        <item x="485"/>
        <item x="300"/>
        <item x="208"/>
        <item x="240"/>
        <item x="269"/>
        <item x="277"/>
        <item x="502"/>
        <item x="207"/>
        <item x="206"/>
        <item x="274"/>
        <item x="273"/>
        <item x="205"/>
        <item x="204"/>
        <item x="215"/>
        <item x="270"/>
        <item x="448"/>
        <item x="201"/>
        <item x="200"/>
        <item x="263"/>
        <item x="199"/>
        <item x="264"/>
        <item x="198"/>
        <item x="197"/>
        <item x="196"/>
        <item x="195"/>
        <item x="194"/>
        <item x="245"/>
        <item x="243"/>
        <item x="242"/>
        <item x="191"/>
        <item x="238"/>
        <item x="190"/>
        <item x="391"/>
        <item x="210"/>
        <item x="233"/>
        <item x="186"/>
        <item x="185"/>
        <item x="254"/>
        <item x="184"/>
        <item x="180"/>
        <item x="189"/>
        <item x="179"/>
        <item x="178"/>
        <item x="224"/>
        <item x="236"/>
        <item x="181"/>
        <item x="566"/>
        <item x="173"/>
        <item x="172"/>
        <item x="171"/>
        <item x="170"/>
        <item x="862"/>
        <item x="203"/>
        <item x="202"/>
        <item x="209"/>
        <item x="167"/>
        <item x="166"/>
        <item x="164"/>
        <item x="562"/>
        <item x="227"/>
        <item x="182"/>
        <item x="163"/>
        <item x="192"/>
        <item x="183"/>
        <item x="160"/>
        <item x="974"/>
        <item x="159"/>
        <item x="158"/>
        <item x="157"/>
        <item x="156"/>
        <item x="155"/>
        <item x="177"/>
        <item x="176"/>
        <item x="153"/>
        <item x="175"/>
        <item x="152"/>
        <item x="188"/>
        <item x="151"/>
        <item x="150"/>
        <item x="148"/>
        <item x="145"/>
        <item x="168"/>
        <item x="866"/>
        <item x="146"/>
        <item x="193"/>
        <item x="174"/>
        <item x="169"/>
        <item x="187"/>
        <item x="144"/>
        <item x="162"/>
        <item x="142"/>
        <item x="165"/>
        <item x="154"/>
        <item x="138"/>
        <item x="147"/>
        <item x="137"/>
        <item x="136"/>
        <item x="141"/>
        <item x="135"/>
        <item x="133"/>
        <item x="132"/>
        <item x="131"/>
        <item x="130"/>
        <item x="149"/>
        <item x="143"/>
        <item x="425"/>
        <item x="161"/>
        <item x="129"/>
        <item x="140"/>
        <item x="128"/>
        <item x="139"/>
        <item x="793"/>
        <item x="126"/>
        <item x="123"/>
        <item x="122"/>
        <item x="121"/>
        <item x="120"/>
        <item x="119"/>
        <item x="118"/>
        <item x="114"/>
        <item x="932"/>
        <item x="585"/>
        <item x="134"/>
        <item x="111"/>
        <item x="110"/>
        <item x="127"/>
        <item x="125"/>
        <item x="124"/>
        <item x="882"/>
        <item x="109"/>
        <item x="826"/>
        <item x="108"/>
        <item x="117"/>
        <item x="116"/>
        <item x="115"/>
        <item x="105"/>
        <item x="861"/>
        <item x="104"/>
        <item x="103"/>
        <item x="112"/>
        <item x="100"/>
        <item x="113"/>
        <item x="99"/>
        <item x="98"/>
        <item x="95"/>
        <item x="884"/>
        <item x="102"/>
        <item x="101"/>
        <item x="107"/>
        <item x="839"/>
        <item x="97"/>
        <item x="94"/>
        <item x="106"/>
        <item x="93"/>
        <item x="633"/>
        <item x="501"/>
        <item x="92"/>
        <item x="91"/>
        <item x="90"/>
        <item x="89"/>
        <item x="96"/>
        <item x="87"/>
        <item x="82"/>
        <item x="88"/>
        <item x="86"/>
        <item x="889"/>
        <item x="85"/>
        <item x="80"/>
        <item x="83"/>
        <item x="81"/>
        <item x="79"/>
        <item x="351"/>
        <item x="733"/>
        <item x="78"/>
        <item x="84"/>
        <item x="74"/>
        <item x="77"/>
        <item x="75"/>
        <item x="929"/>
        <item x="72"/>
        <item x="76"/>
        <item x="71"/>
        <item x="73"/>
        <item x="70"/>
        <item x="69"/>
        <item x="68"/>
        <item x="65"/>
        <item x="63"/>
        <item x="66"/>
        <item x="64"/>
        <item x="844"/>
        <item x="223"/>
        <item x="67"/>
        <item x="62"/>
        <item x="60"/>
        <item x="58"/>
        <item x="61"/>
        <item x="57"/>
        <item x="59"/>
        <item x="800"/>
        <item x="736"/>
        <item x="56"/>
        <item x="55"/>
        <item x="525"/>
        <item x="345"/>
        <item x="920"/>
        <item x="54"/>
        <item x="52"/>
        <item x="51"/>
        <item x="50"/>
        <item x="53"/>
        <item x="48"/>
        <item x="49"/>
        <item x="47"/>
        <item x="46"/>
        <item x="765"/>
        <item x="948"/>
        <item x="774"/>
        <item x="486"/>
        <item x="45"/>
        <item x="44"/>
        <item x="43"/>
        <item x="42"/>
        <item x="41"/>
        <item x="39"/>
        <item x="38"/>
        <item x="40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849"/>
        <item x="25"/>
        <item x="24"/>
        <item x="23"/>
        <item x="22"/>
        <item x="20"/>
        <item x="21"/>
        <item x="921"/>
        <item x="991"/>
        <item x="19"/>
        <item x="18"/>
        <item x="565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780"/>
        <item x="2"/>
        <item x="1"/>
        <item x="0"/>
        <item t="default"/>
      </items>
    </pivotField>
    <pivotField dataField="1" compact="0" showAll="0">
      <items count="465">
        <item x="0"/>
        <item x="126"/>
        <item x="331"/>
        <item x="240"/>
        <item x="114"/>
        <item x="106"/>
        <item x="134"/>
        <item x="138"/>
        <item x="127"/>
        <item x="133"/>
        <item x="123"/>
        <item x="135"/>
        <item x="128"/>
        <item x="129"/>
        <item x="130"/>
        <item x="103"/>
        <item x="121"/>
        <item x="131"/>
        <item x="104"/>
        <item x="263"/>
        <item x="343"/>
        <item x="112"/>
        <item x="448"/>
        <item x="416"/>
        <item x="408"/>
        <item x="191"/>
        <item x="62"/>
        <item x="91"/>
        <item x="442"/>
        <item x="309"/>
        <item x="403"/>
        <item x="463"/>
        <item x="383"/>
        <item x="122"/>
        <item x="151"/>
        <item x="72"/>
        <item x="303"/>
        <item x="115"/>
        <item x="234"/>
        <item x="458"/>
        <item x="95"/>
        <item x="76"/>
        <item x="64"/>
        <item x="89"/>
        <item x="141"/>
        <item x="461"/>
        <item x="300"/>
        <item x="139"/>
        <item x="52"/>
        <item x="292"/>
        <item x="429"/>
        <item x="140"/>
        <item x="207"/>
        <item x="340"/>
        <item x="56"/>
        <item x="349"/>
        <item x="137"/>
        <item x="396"/>
        <item x="63"/>
        <item x="304"/>
        <item x="351"/>
        <item x="142"/>
        <item x="143"/>
        <item x="253"/>
        <item x="259"/>
        <item x="327"/>
        <item x="144"/>
        <item x="279"/>
        <item x="256"/>
        <item x="285"/>
        <item x="124"/>
        <item x="242"/>
        <item x="421"/>
        <item x="389"/>
        <item x="247"/>
        <item x="147"/>
        <item x="218"/>
        <item x="456"/>
        <item x="323"/>
        <item x="326"/>
        <item x="149"/>
        <item x="450"/>
        <item x="150"/>
        <item x="338"/>
        <item x="419"/>
        <item x="161"/>
        <item x="153"/>
        <item x="101"/>
        <item x="336"/>
        <item x="197"/>
        <item x="390"/>
        <item x="435"/>
        <item x="241"/>
        <item x="75"/>
        <item x="71"/>
        <item x="404"/>
        <item x="342"/>
        <item x="212"/>
        <item x="348"/>
        <item x="287"/>
        <item x="216"/>
        <item x="420"/>
        <item x="54"/>
        <item x="341"/>
        <item x="427"/>
        <item x="276"/>
        <item x="249"/>
        <item x="244"/>
        <item x="165"/>
        <item x="146"/>
        <item x="324"/>
        <item x="433"/>
        <item x="446"/>
        <item x="297"/>
        <item x="355"/>
        <item x="40"/>
        <item x="34"/>
        <item x="447"/>
        <item x="215"/>
        <item x="120"/>
        <item x="400"/>
        <item x="243"/>
        <item x="201"/>
        <item x="362"/>
        <item x="268"/>
        <item x="347"/>
        <item x="459"/>
        <item x="274"/>
        <item x="228"/>
        <item x="66"/>
        <item x="116"/>
        <item x="444"/>
        <item x="100"/>
        <item x="186"/>
        <item x="227"/>
        <item x="125"/>
        <item x="313"/>
        <item x="61"/>
        <item x="445"/>
        <item x="177"/>
        <item x="289"/>
        <item x="57"/>
        <item x="432"/>
        <item x="176"/>
        <item x="156"/>
        <item x="278"/>
        <item x="210"/>
        <item x="406"/>
        <item x="80"/>
        <item x="214"/>
        <item x="316"/>
        <item x="16"/>
        <item x="322"/>
        <item x="431"/>
        <item x="255"/>
        <item x="192"/>
        <item x="401"/>
        <item x="311"/>
        <item x="334"/>
        <item x="159"/>
        <item x="21"/>
        <item x="301"/>
        <item x="48"/>
        <item x="290"/>
        <item x="386"/>
        <item x="280"/>
        <item x="194"/>
        <item x="365"/>
        <item x="414"/>
        <item x="451"/>
        <item x="352"/>
        <item x="350"/>
        <item x="460"/>
        <item x="203"/>
        <item x="41"/>
        <item x="360"/>
        <item x="398"/>
        <item x="238"/>
        <item x="266"/>
        <item x="358"/>
        <item x="443"/>
        <item x="28"/>
        <item x="225"/>
        <item x="111"/>
        <item x="108"/>
        <item x="198"/>
        <item x="219"/>
        <item x="221"/>
        <item x="251"/>
        <item x="164"/>
        <item x="455"/>
        <item x="33"/>
        <item x="402"/>
        <item x="283"/>
        <item x="439"/>
        <item x="265"/>
        <item x="168"/>
        <item x="308"/>
        <item x="226"/>
        <item x="306"/>
        <item x="220"/>
        <item x="213"/>
        <item x="375"/>
        <item x="35"/>
        <item x="92"/>
        <item x="271"/>
        <item x="367"/>
        <item x="24"/>
        <item x="36"/>
        <item x="426"/>
        <item x="200"/>
        <item x="409"/>
        <item x="252"/>
        <item x="364"/>
        <item x="438"/>
        <item x="174"/>
        <item x="190"/>
        <item x="172"/>
        <item x="202"/>
        <item x="418"/>
        <item x="239"/>
        <item x="188"/>
        <item x="264"/>
        <item x="47"/>
        <item x="346"/>
        <item x="208"/>
        <item x="371"/>
        <item x="382"/>
        <item x="328"/>
        <item x="312"/>
        <item x="246"/>
        <item x="319"/>
        <item x="37"/>
        <item x="405"/>
        <item x="452"/>
        <item x="160"/>
        <item x="43"/>
        <item x="87"/>
        <item x="183"/>
        <item x="187"/>
        <item x="113"/>
        <item x="237"/>
        <item x="195"/>
        <item x="204"/>
        <item x="388"/>
        <item x="223"/>
        <item x="393"/>
        <item x="457"/>
        <item x="368"/>
        <item x="222"/>
        <item x="339"/>
        <item x="15"/>
        <item x="230"/>
        <item x="361"/>
        <item x="229"/>
        <item x="99"/>
        <item x="233"/>
        <item x="333"/>
        <item x="270"/>
        <item x="175"/>
        <item x="378"/>
        <item x="293"/>
        <item x="273"/>
        <item x="462"/>
        <item x="173"/>
        <item x="152"/>
        <item x="380"/>
        <item x="286"/>
        <item x="254"/>
        <item x="27"/>
        <item x="394"/>
        <item x="145"/>
        <item x="392"/>
        <item x="413"/>
        <item x="441"/>
        <item x="248"/>
        <item x="171"/>
        <item x="291"/>
        <item x="372"/>
        <item x="374"/>
        <item x="136"/>
        <item x="154"/>
        <item x="167"/>
        <item x="310"/>
        <item x="169"/>
        <item x="453"/>
        <item x="314"/>
        <item x="84"/>
        <item x="235"/>
        <item x="282"/>
        <item x="363"/>
        <item x="42"/>
        <item x="384"/>
        <item x="437"/>
        <item x="321"/>
        <item x="69"/>
        <item x="184"/>
        <item x="434"/>
        <item x="454"/>
        <item x="275"/>
        <item x="189"/>
        <item x="373"/>
        <item x="423"/>
        <item x="179"/>
        <item x="90"/>
        <item x="335"/>
        <item x="68"/>
        <item x="440"/>
        <item x="82"/>
        <item x="332"/>
        <item x="32"/>
        <item x="44"/>
        <item x="299"/>
        <item x="98"/>
        <item x="257"/>
        <item x="245"/>
        <item x="182"/>
        <item x="77"/>
        <item x="294"/>
        <item x="415"/>
        <item x="206"/>
        <item x="73"/>
        <item x="425"/>
        <item x="317"/>
        <item x="407"/>
        <item x="377"/>
        <item x="262"/>
        <item x="410"/>
        <item x="155"/>
        <item x="250"/>
        <item x="295"/>
        <item x="81"/>
        <item x="102"/>
        <item x="424"/>
        <item x="83"/>
        <item x="269"/>
        <item x="359"/>
        <item x="96"/>
        <item x="260"/>
        <item x="232"/>
        <item x="354"/>
        <item x="118"/>
        <item x="261"/>
        <item x="199"/>
        <item x="45"/>
        <item x="370"/>
        <item x="193"/>
        <item x="281"/>
        <item x="58"/>
        <item x="217"/>
        <item x="379"/>
        <item x="209"/>
        <item x="288"/>
        <item x="329"/>
        <item x="307"/>
        <item x="397"/>
        <item x="449"/>
        <item x="49"/>
        <item x="353"/>
        <item x="344"/>
        <item x="59"/>
        <item x="399"/>
        <item x="157"/>
        <item x="180"/>
        <item x="3"/>
        <item x="436"/>
        <item x="148"/>
        <item x="417"/>
        <item x="94"/>
        <item x="178"/>
        <item x="55"/>
        <item x="38"/>
        <item x="4"/>
        <item x="46"/>
        <item x="170"/>
        <item x="267"/>
        <item x="50"/>
        <item x="67"/>
        <item x="65"/>
        <item x="391"/>
        <item x="381"/>
        <item x="39"/>
        <item x="162"/>
        <item x="158"/>
        <item x="30"/>
        <item x="1"/>
        <item x="8"/>
        <item x="12"/>
        <item x="105"/>
        <item x="25"/>
        <item x="387"/>
        <item x="395"/>
        <item x="13"/>
        <item x="330"/>
        <item x="19"/>
        <item x="88"/>
        <item x="5"/>
        <item x="305"/>
        <item x="422"/>
        <item x="79"/>
        <item x="376"/>
        <item x="236"/>
        <item x="31"/>
        <item x="430"/>
        <item x="20"/>
        <item x="315"/>
        <item x="17"/>
        <item x="23"/>
        <item x="14"/>
        <item x="181"/>
        <item x="337"/>
        <item x="119"/>
        <item x="78"/>
        <item x="345"/>
        <item x="185"/>
        <item x="11"/>
        <item x="85"/>
        <item x="7"/>
        <item x="74"/>
        <item x="412"/>
        <item x="26"/>
        <item x="18"/>
        <item x="22"/>
        <item x="60"/>
        <item x="10"/>
        <item x="6"/>
        <item x="110"/>
        <item x="9"/>
        <item x="298"/>
        <item x="107"/>
        <item x="411"/>
        <item x="302"/>
        <item x="2"/>
        <item x="70"/>
        <item x="224"/>
        <item x="117"/>
        <item x="369"/>
        <item x="318"/>
        <item x="258"/>
        <item x="296"/>
        <item x="320"/>
        <item x="272"/>
        <item x="132"/>
        <item x="93"/>
        <item x="325"/>
        <item x="53"/>
        <item x="163"/>
        <item x="366"/>
        <item x="29"/>
        <item x="277"/>
        <item x="231"/>
        <item x="166"/>
        <item x="51"/>
        <item x="97"/>
        <item x="356"/>
        <item x="196"/>
        <item x="385"/>
        <item x="205"/>
        <item x="86"/>
        <item x="284"/>
        <item x="357"/>
        <item x="428"/>
        <item x="109"/>
        <item x="211"/>
        <item t="default"/>
      </items>
    </pivotField>
    <pivotField dataField="1" compact="0" showAll="0">
      <items count="756">
        <item x="754"/>
        <item x="753"/>
        <item x="752"/>
        <item x="751"/>
        <item x="750"/>
        <item x="749"/>
        <item x="748"/>
        <item x="747"/>
        <item x="746"/>
        <item x="745"/>
        <item x="744"/>
        <item x="743"/>
        <item x="742"/>
        <item x="741"/>
        <item x="740"/>
        <item x="739"/>
        <item x="738"/>
        <item x="737"/>
        <item x="736"/>
        <item x="735"/>
        <item x="734"/>
        <item x="733"/>
        <item x="732"/>
        <item x="731"/>
        <item x="730"/>
        <item x="729"/>
        <item x="728"/>
        <item x="727"/>
        <item x="726"/>
        <item x="725"/>
        <item x="724"/>
        <item x="723"/>
        <item x="722"/>
        <item x="721"/>
        <item x="720"/>
        <item x="719"/>
        <item x="718"/>
        <item x="717"/>
        <item x="716"/>
        <item x="715"/>
        <item x="714"/>
        <item x="713"/>
        <item x="712"/>
        <item x="711"/>
        <item x="710"/>
        <item x="709"/>
        <item x="708"/>
        <item x="707"/>
        <item x="706"/>
        <item x="705"/>
        <item x="704"/>
        <item x="703"/>
        <item x="702"/>
        <item x="701"/>
        <item x="700"/>
        <item x="699"/>
        <item x="698"/>
        <item x="697"/>
        <item x="696"/>
        <item x="695"/>
        <item x="694"/>
        <item x="693"/>
        <item x="692"/>
        <item x="691"/>
        <item x="690"/>
        <item x="689"/>
        <item x="688"/>
        <item x="687"/>
        <item x="686"/>
        <item x="685"/>
        <item x="684"/>
        <item x="683"/>
        <item x="682"/>
        <item x="681"/>
        <item x="680"/>
        <item x="679"/>
        <item x="678"/>
        <item x="677"/>
        <item x="676"/>
        <item x="675"/>
        <item x="674"/>
        <item x="673"/>
        <item x="672"/>
        <item x="671"/>
        <item x="670"/>
        <item x="669"/>
        <item x="668"/>
        <item x="667"/>
        <item x="666"/>
        <item x="665"/>
        <item x="664"/>
        <item x="663"/>
        <item x="662"/>
        <item x="661"/>
        <item x="660"/>
        <item x="659"/>
        <item x="658"/>
        <item x="657"/>
        <item x="656"/>
        <item x="655"/>
        <item x="654"/>
        <item x="653"/>
        <item x="652"/>
        <item x="651"/>
        <item x="650"/>
        <item x="649"/>
        <item x="648"/>
        <item x="647"/>
        <item x="646"/>
        <item x="645"/>
        <item x="644"/>
        <item x="643"/>
        <item x="642"/>
        <item x="641"/>
        <item x="640"/>
        <item x="639"/>
        <item x="638"/>
        <item x="637"/>
        <item x="636"/>
        <item x="635"/>
        <item x="634"/>
        <item x="633"/>
        <item x="632"/>
        <item x="631"/>
        <item x="630"/>
        <item x="629"/>
        <item x="628"/>
        <item x="627"/>
        <item x="626"/>
        <item x="625"/>
        <item x="624"/>
        <item x="623"/>
        <item x="622"/>
        <item x="621"/>
        <item x="620"/>
        <item x="619"/>
        <item x="618"/>
        <item x="617"/>
        <item x="616"/>
        <item x="615"/>
        <item x="614"/>
        <item x="613"/>
        <item x="612"/>
        <item x="611"/>
        <item x="610"/>
        <item x="609"/>
        <item x="608"/>
        <item x="607"/>
        <item x="606"/>
        <item x="605"/>
        <item x="604"/>
        <item x="603"/>
        <item x="602"/>
        <item x="601"/>
        <item x="600"/>
        <item x="599"/>
        <item x="598"/>
        <item x="597"/>
        <item x="596"/>
        <item x="595"/>
        <item x="594"/>
        <item x="593"/>
        <item x="592"/>
        <item x="591"/>
        <item x="590"/>
        <item x="589"/>
        <item x="588"/>
        <item x="587"/>
        <item x="586"/>
        <item x="585"/>
        <item x="584"/>
        <item x="583"/>
        <item x="582"/>
        <item x="581"/>
        <item x="580"/>
        <item x="579"/>
        <item x="578"/>
        <item x="577"/>
        <item x="576"/>
        <item x="575"/>
        <item x="574"/>
        <item x="573"/>
        <item x="572"/>
        <item x="571"/>
        <item x="570"/>
        <item x="569"/>
        <item x="568"/>
        <item x="567"/>
        <item x="566"/>
        <item x="565"/>
        <item x="564"/>
        <item x="563"/>
        <item x="562"/>
        <item x="561"/>
        <item x="560"/>
        <item x="559"/>
        <item x="558"/>
        <item x="557"/>
        <item x="556"/>
        <item x="555"/>
        <item x="554"/>
        <item x="553"/>
        <item x="552"/>
        <item x="551"/>
        <item x="550"/>
        <item x="549"/>
        <item x="548"/>
        <item x="547"/>
        <item x="546"/>
        <item x="545"/>
        <item x="544"/>
        <item x="543"/>
        <item x="542"/>
        <item x="541"/>
        <item x="540"/>
        <item x="539"/>
        <item x="538"/>
        <item x="537"/>
        <item x="536"/>
        <item x="535"/>
        <item x="534"/>
        <item x="533"/>
        <item x="532"/>
        <item x="531"/>
        <item x="530"/>
        <item x="529"/>
        <item x="528"/>
        <item x="527"/>
        <item x="526"/>
        <item x="525"/>
        <item x="524"/>
        <item x="523"/>
        <item x="522"/>
        <item x="521"/>
        <item x="520"/>
        <item x="519"/>
        <item x="518"/>
        <item x="517"/>
        <item x="516"/>
        <item x="515"/>
        <item x="514"/>
        <item x="513"/>
        <item x="512"/>
        <item x="511"/>
        <item x="510"/>
        <item x="509"/>
        <item x="508"/>
        <item x="507"/>
        <item x="506"/>
        <item x="505"/>
        <item x="504"/>
        <item x="503"/>
        <item x="502"/>
        <item x="501"/>
        <item x="500"/>
        <item x="499"/>
        <item x="498"/>
        <item x="497"/>
        <item x="496"/>
        <item x="495"/>
        <item x="494"/>
        <item x="493"/>
        <item x="492"/>
        <item x="491"/>
        <item x="490"/>
        <item x="489"/>
        <item x="488"/>
        <item x="487"/>
        <item x="486"/>
        <item x="485"/>
        <item x="484"/>
        <item x="483"/>
        <item x="482"/>
        <item x="481"/>
        <item x="480"/>
        <item x="479"/>
        <item x="478"/>
        <item x="477"/>
        <item x="476"/>
        <item x="475"/>
        <item x="474"/>
        <item x="473"/>
        <item x="472"/>
        <item x="471"/>
        <item x="470"/>
        <item x="469"/>
        <item x="468"/>
        <item x="467"/>
        <item x="466"/>
        <item x="465"/>
        <item x="464"/>
        <item x="463"/>
        <item x="462"/>
        <item x="461"/>
        <item x="460"/>
        <item x="459"/>
        <item x="458"/>
        <item x="457"/>
        <item x="456"/>
        <item x="455"/>
        <item x="454"/>
        <item x="453"/>
        <item x="452"/>
        <item x="451"/>
        <item x="450"/>
        <item x="449"/>
        <item x="448"/>
        <item x="447"/>
        <item x="446"/>
        <item x="445"/>
        <item x="444"/>
        <item x="443"/>
        <item x="442"/>
        <item x="441"/>
        <item x="440"/>
        <item x="439"/>
        <item x="438"/>
        <item x="437"/>
        <item x="436"/>
        <item x="435"/>
        <item x="434"/>
        <item x="433"/>
        <item x="432"/>
        <item x="431"/>
        <item x="430"/>
        <item x="429"/>
        <item x="428"/>
        <item x="427"/>
        <item x="426"/>
        <item x="425"/>
        <item x="424"/>
        <item x="423"/>
        <item x="422"/>
        <item x="421"/>
        <item x="420"/>
        <item x="419"/>
        <item x="418"/>
        <item x="417"/>
        <item x="416"/>
        <item x="415"/>
        <item x="414"/>
        <item x="413"/>
        <item x="412"/>
        <item x="411"/>
        <item x="410"/>
        <item x="409"/>
        <item x="408"/>
        <item x="407"/>
        <item x="406"/>
        <item x="405"/>
        <item x="404"/>
        <item x="403"/>
        <item x="402"/>
        <item x="401"/>
        <item x="400"/>
        <item x="399"/>
        <item x="398"/>
        <item x="397"/>
        <item x="396"/>
        <item x="395"/>
        <item x="394"/>
        <item x="393"/>
        <item x="392"/>
        <item x="391"/>
        <item x="390"/>
        <item x="389"/>
        <item x="388"/>
        <item x="387"/>
        <item x="386"/>
        <item x="385"/>
        <item x="384"/>
        <item x="383"/>
        <item x="382"/>
        <item x="381"/>
        <item x="380"/>
        <item x="379"/>
        <item x="378"/>
        <item x="377"/>
        <item x="376"/>
        <item x="375"/>
        <item x="374"/>
        <item x="373"/>
        <item x="372"/>
        <item x="371"/>
        <item x="370"/>
        <item x="369"/>
        <item x="368"/>
        <item x="367"/>
        <item x="366"/>
        <item x="365"/>
        <item x="364"/>
        <item x="363"/>
        <item x="362"/>
        <item x="361"/>
        <item x="360"/>
        <item x="359"/>
        <item x="358"/>
        <item x="357"/>
        <item x="356"/>
        <item x="355"/>
        <item x="354"/>
        <item x="353"/>
        <item x="352"/>
        <item x="351"/>
        <item x="350"/>
        <item x="349"/>
        <item x="348"/>
        <item x="347"/>
        <item x="346"/>
        <item x="345"/>
        <item x="344"/>
        <item x="343"/>
        <item x="342"/>
        <item x="341"/>
        <item x="340"/>
        <item x="339"/>
        <item x="338"/>
        <item x="337"/>
        <item x="336"/>
        <item x="335"/>
        <item x="334"/>
        <item x="333"/>
        <item x="332"/>
        <item x="331"/>
        <item x="330"/>
        <item x="329"/>
        <item x="328"/>
        <item x="327"/>
        <item x="326"/>
        <item x="325"/>
        <item x="324"/>
        <item x="323"/>
        <item x="322"/>
        <item x="321"/>
        <item x="320"/>
        <item x="319"/>
        <item x="318"/>
        <item x="317"/>
        <item x="316"/>
        <item x="315"/>
        <item x="314"/>
        <item x="313"/>
        <item x="312"/>
        <item x="311"/>
        <item x="310"/>
        <item x="309"/>
        <item x="308"/>
        <item x="307"/>
        <item x="306"/>
        <item x="305"/>
        <item x="304"/>
        <item x="303"/>
        <item x="302"/>
        <item x="301"/>
        <item x="300"/>
        <item x="299"/>
        <item x="298"/>
        <item x="297"/>
        <item x="296"/>
        <item x="295"/>
        <item x="294"/>
        <item x="293"/>
        <item x="292"/>
        <item x="291"/>
        <item x="290"/>
        <item x="289"/>
        <item x="288"/>
        <item x="287"/>
        <item x="286"/>
        <item x="285"/>
        <item x="284"/>
        <item x="283"/>
        <item x="282"/>
        <item x="281"/>
        <item x="280"/>
        <item x="279"/>
        <item x="278"/>
        <item x="277"/>
        <item x="276"/>
        <item x="275"/>
        <item x="274"/>
        <item x="273"/>
        <item x="272"/>
        <item x="271"/>
        <item x="270"/>
        <item x="269"/>
        <item x="268"/>
        <item x="267"/>
        <item x="266"/>
        <item x="265"/>
        <item x="264"/>
        <item x="263"/>
        <item x="262"/>
        <item x="261"/>
        <item x="260"/>
        <item x="259"/>
        <item x="258"/>
        <item x="257"/>
        <item x="256"/>
        <item x="255"/>
        <item x="254"/>
        <item x="253"/>
        <item x="252"/>
        <item x="251"/>
        <item x="250"/>
        <item x="249"/>
        <item x="248"/>
        <item x="247"/>
        <item x="246"/>
        <item x="245"/>
        <item x="244"/>
        <item x="243"/>
        <item x="242"/>
        <item x="241"/>
        <item x="240"/>
        <item x="239"/>
        <item x="238"/>
        <item x="237"/>
        <item x="236"/>
        <item x="235"/>
        <item x="234"/>
        <item x="233"/>
        <item x="232"/>
        <item x="231"/>
        <item x="230"/>
        <item x="229"/>
        <item x="228"/>
        <item x="227"/>
        <item x="226"/>
        <item x="225"/>
        <item x="224"/>
        <item x="223"/>
        <item x="222"/>
        <item x="221"/>
        <item x="220"/>
        <item x="219"/>
        <item x="218"/>
        <item x="217"/>
        <item x="216"/>
        <item x="215"/>
        <item x="214"/>
        <item x="213"/>
        <item x="212"/>
        <item x="211"/>
        <item x="210"/>
        <item x="209"/>
        <item x="208"/>
        <item x="207"/>
        <item x="206"/>
        <item x="205"/>
        <item x="204"/>
        <item x="203"/>
        <item x="202"/>
        <item x="201"/>
        <item x="200"/>
        <item x="199"/>
        <item x="198"/>
        <item x="197"/>
        <item x="196"/>
        <item x="195"/>
        <item x="194"/>
        <item x="193"/>
        <item x="192"/>
        <item x="191"/>
        <item x="190"/>
        <item x="189"/>
        <item x="188"/>
        <item x="187"/>
        <item x="186"/>
        <item x="185"/>
        <item x="184"/>
        <item x="183"/>
        <item x="182"/>
        <item x="181"/>
        <item x="180"/>
        <item x="179"/>
        <item x="178"/>
        <item x="177"/>
        <item x="176"/>
        <item x="175"/>
        <item x="174"/>
        <item x="173"/>
        <item x="172"/>
        <item x="171"/>
        <item x="170"/>
        <item x="169"/>
        <item x="168"/>
        <item x="167"/>
        <item x="166"/>
        <item x="165"/>
        <item x="164"/>
        <item x="163"/>
        <item x="162"/>
        <item x="161"/>
        <item x="160"/>
        <item x="159"/>
        <item x="158"/>
        <item x="157"/>
        <item x="156"/>
        <item x="155"/>
        <item x="154"/>
        <item x="153"/>
        <item x="152"/>
        <item x="151"/>
        <item x="150"/>
        <item x="149"/>
        <item x="148"/>
        <item x="147"/>
        <item x="146"/>
        <item x="145"/>
        <item x="144"/>
        <item x="143"/>
        <item x="142"/>
        <item x="141"/>
        <item x="140"/>
        <item x="139"/>
        <item x="138"/>
        <item x="137"/>
        <item x="136"/>
        <item x="135"/>
        <item x="134"/>
        <item x="133"/>
        <item x="132"/>
        <item x="131"/>
        <item x="130"/>
        <item x="129"/>
        <item x="128"/>
        <item x="127"/>
        <item x="126"/>
        <item x="125"/>
        <item x="124"/>
        <item x="123"/>
        <item x="122"/>
        <item x="121"/>
        <item x="120"/>
        <item x="119"/>
        <item x="118"/>
        <item x="117"/>
        <item x="116"/>
        <item x="115"/>
        <item x="114"/>
        <item x="113"/>
        <item x="112"/>
        <item x="111"/>
        <item x="110"/>
        <item x="109"/>
        <item x="108"/>
        <item x="107"/>
        <item x="106"/>
        <item x="105"/>
        <item x="104"/>
        <item x="103"/>
        <item x="102"/>
        <item x="101"/>
        <item x="100"/>
        <item x="99"/>
        <item x="98"/>
        <item x="97"/>
        <item x="96"/>
        <item x="95"/>
        <item x="94"/>
        <item x="93"/>
        <item x="92"/>
        <item x="91"/>
        <item x="90"/>
        <item x="89"/>
        <item x="88"/>
        <item x="87"/>
        <item x="86"/>
        <item x="85"/>
        <item x="84"/>
        <item x="83"/>
        <item x="82"/>
        <item x="81"/>
        <item x="80"/>
        <item x="79"/>
        <item x="78"/>
        <item x="77"/>
        <item x="76"/>
        <item x="75"/>
        <item x="74"/>
        <item x="73"/>
        <item x="72"/>
        <item x="71"/>
        <item x="70"/>
        <item x="69"/>
        <item x="68"/>
        <item x="67"/>
        <item x="66"/>
        <item x="65"/>
        <item x="64"/>
        <item x="63"/>
        <item x="62"/>
        <item x="61"/>
        <item x="60"/>
        <item x="59"/>
        <item x="58"/>
        <item x="57"/>
        <item x="56"/>
        <item x="55"/>
        <item x="54"/>
        <item x="53"/>
        <item x="52"/>
        <item x="51"/>
        <item x="50"/>
        <item x="49"/>
        <item x="48"/>
        <item x="47"/>
        <item x="46"/>
        <item x="45"/>
        <item x="44"/>
        <item x="43"/>
        <item x="42"/>
        <item x="41"/>
        <item x="40"/>
        <item x="39"/>
        <item x="38"/>
        <item x="37"/>
        <item x="36"/>
        <item x="35"/>
        <item x="34"/>
        <item x="33"/>
        <item x="32"/>
        <item x="31"/>
        <item x="30"/>
        <item x="29"/>
        <item x="28"/>
        <item x="27"/>
        <item x="26"/>
        <item x="25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compact="0" showAll="0"/>
  </pivotFields>
  <rowFields count="1">
    <field x="0"/>
  </rowFields>
  <rowItems count="76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求和项:总消费" fld="5" baseField="0" baseItem="0"/>
    <dataField name="求和项:券消费" fld="6" baseField="0" baseItem="0"/>
    <dataField name="求和项:余额消费" fld="7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E5"/>
  <sheetViews>
    <sheetView workbookViewId="0">
      <selection activeCell="D4" sqref="D4"/>
    </sheetView>
  </sheetViews>
  <sheetFormatPr defaultColWidth="8.72727272727273" defaultRowHeight="14" outlineLevelRow="4" outlineLevelCol="4"/>
  <cols>
    <col min="1" max="2" width="9.90909090909091"/>
    <col min="3" max="5" width="17.3636363636364"/>
  </cols>
  <sheetData>
    <row r="3" spans="1:5">
      <c r="A3" t="s">
        <v>0</v>
      </c>
      <c r="B3" t="s">
        <v>1</v>
      </c>
      <c r="C3" t="s">
        <v>2</v>
      </c>
      <c r="D3" t="s">
        <v>3</v>
      </c>
      <c r="E3" t="s">
        <v>4</v>
      </c>
    </row>
    <row r="4" spans="1:5">
      <c r="A4" t="s">
        <v>5</v>
      </c>
      <c r="B4" t="s">
        <v>6</v>
      </c>
      <c r="C4">
        <v>7.5</v>
      </c>
      <c r="D4">
        <v>110340.459592</v>
      </c>
      <c r="E4">
        <v>110347.959592</v>
      </c>
    </row>
    <row r="5" spans="1:5">
      <c r="A5" t="s">
        <v>7</v>
      </c>
      <c r="C5">
        <v>7.5</v>
      </c>
      <c r="D5">
        <v>110340.459592</v>
      </c>
      <c r="E5">
        <v>110347.959592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1527"/>
  <sheetViews>
    <sheetView topLeftCell="A1471" workbookViewId="0">
      <selection activeCell="D1526" sqref="D1526"/>
    </sheetView>
  </sheetViews>
  <sheetFormatPr defaultColWidth="8.72727272727273" defaultRowHeight="14" outlineLevelCol="3"/>
  <cols>
    <col min="1" max="1" width="36.3181818181818"/>
    <col min="2" max="2" width="18.1818181818182"/>
    <col min="3" max="4" width="15.9090909090909"/>
    <col min="5" max="5" width="17.3636363636364"/>
  </cols>
  <sheetData>
    <row r="3" spans="1:4">
      <c r="A3" t="s">
        <v>8</v>
      </c>
      <c r="B3" t="s">
        <v>3</v>
      </c>
      <c r="C3" t="s">
        <v>2</v>
      </c>
      <c r="D3" t="s">
        <v>4</v>
      </c>
    </row>
    <row r="4" spans="1:4">
      <c r="A4" s="16" t="s">
        <v>9</v>
      </c>
      <c r="B4">
        <v>0.24984</v>
      </c>
      <c r="C4">
        <v>0</v>
      </c>
      <c r="D4">
        <v>0.24984</v>
      </c>
    </row>
    <row r="5" spans="1:4">
      <c r="A5" s="28" t="s">
        <v>10</v>
      </c>
      <c r="B5">
        <v>0.24984</v>
      </c>
      <c r="C5">
        <v>0</v>
      </c>
      <c r="D5">
        <v>0.24984</v>
      </c>
    </row>
    <row r="6" spans="1:4">
      <c r="A6" s="16" t="s">
        <v>11</v>
      </c>
      <c r="B6">
        <v>3.231</v>
      </c>
      <c r="C6">
        <v>0.657</v>
      </c>
      <c r="D6">
        <v>3.888</v>
      </c>
    </row>
    <row r="7" spans="1:4">
      <c r="A7" s="28" t="s">
        <v>10</v>
      </c>
      <c r="B7">
        <v>3.231</v>
      </c>
      <c r="C7">
        <v>0.657</v>
      </c>
      <c r="D7">
        <v>3.888</v>
      </c>
    </row>
    <row r="8" spans="1:4">
      <c r="A8" s="16" t="s">
        <v>12</v>
      </c>
      <c r="B8">
        <v>1.934404</v>
      </c>
      <c r="C8">
        <v>7.5</v>
      </c>
      <c r="D8">
        <v>9.434404</v>
      </c>
    </row>
    <row r="9" spans="1:4">
      <c r="A9" s="28" t="s">
        <v>10</v>
      </c>
      <c r="B9">
        <v>1.934404</v>
      </c>
      <c r="C9">
        <v>7.5</v>
      </c>
      <c r="D9">
        <v>9.434404</v>
      </c>
    </row>
    <row r="10" spans="1:4">
      <c r="A10" s="16" t="s">
        <v>13</v>
      </c>
      <c r="B10">
        <v>1345.80944</v>
      </c>
      <c r="C10">
        <v>14.64688</v>
      </c>
      <c r="D10">
        <v>1360.45632</v>
      </c>
    </row>
    <row r="11" spans="1:4">
      <c r="A11" s="28" t="s">
        <v>14</v>
      </c>
      <c r="B11">
        <v>1345.80944</v>
      </c>
      <c r="C11">
        <v>14.64688</v>
      </c>
      <c r="D11">
        <v>1360.45632</v>
      </c>
    </row>
    <row r="12" spans="1:4">
      <c r="A12" s="16" t="s">
        <v>15</v>
      </c>
      <c r="B12">
        <v>4.588702</v>
      </c>
      <c r="C12">
        <v>10.02888</v>
      </c>
      <c r="D12">
        <v>14.617582</v>
      </c>
    </row>
    <row r="13" spans="1:4">
      <c r="A13" s="28" t="s">
        <v>10</v>
      </c>
      <c r="B13">
        <v>4.588702</v>
      </c>
      <c r="C13">
        <v>10.02888</v>
      </c>
      <c r="D13">
        <v>14.617582</v>
      </c>
    </row>
    <row r="14" spans="1:4">
      <c r="A14" s="16" t="s">
        <v>16</v>
      </c>
      <c r="B14">
        <v>2.481024</v>
      </c>
      <c r="C14">
        <v>0</v>
      </c>
      <c r="D14">
        <v>2.481024</v>
      </c>
    </row>
    <row r="15" spans="1:4">
      <c r="A15" s="28" t="s">
        <v>10</v>
      </c>
      <c r="B15">
        <v>2.481024</v>
      </c>
      <c r="C15">
        <v>0</v>
      </c>
      <c r="D15">
        <v>2.481024</v>
      </c>
    </row>
    <row r="16" spans="1:4">
      <c r="A16" s="16" t="s">
        <v>17</v>
      </c>
      <c r="B16">
        <v>153.09622</v>
      </c>
      <c r="C16">
        <v>7.5</v>
      </c>
      <c r="D16">
        <v>160.59622</v>
      </c>
    </row>
    <row r="17" spans="1:4">
      <c r="A17" s="28" t="s">
        <v>10</v>
      </c>
      <c r="B17">
        <v>153.09622</v>
      </c>
      <c r="C17">
        <v>7.5</v>
      </c>
      <c r="D17">
        <v>160.59622</v>
      </c>
    </row>
    <row r="18" spans="1:4">
      <c r="A18" s="16" t="s">
        <v>18</v>
      </c>
      <c r="B18">
        <v>0.005126</v>
      </c>
      <c r="C18">
        <v>0</v>
      </c>
      <c r="D18">
        <v>0.005126</v>
      </c>
    </row>
    <row r="19" spans="1:4">
      <c r="A19" s="28" t="s">
        <v>10</v>
      </c>
      <c r="B19">
        <v>0.005126</v>
      </c>
      <c r="C19">
        <v>0</v>
      </c>
      <c r="D19">
        <v>0.005126</v>
      </c>
    </row>
    <row r="20" spans="1:4">
      <c r="A20" s="16" t="s">
        <v>19</v>
      </c>
      <c r="B20">
        <v>6.835596</v>
      </c>
      <c r="C20">
        <v>4.978884</v>
      </c>
      <c r="D20">
        <v>11.81448</v>
      </c>
    </row>
    <row r="21" spans="1:4">
      <c r="A21" s="28" t="s">
        <v>20</v>
      </c>
      <c r="B21">
        <v>6.835596</v>
      </c>
      <c r="C21">
        <v>4.978884</v>
      </c>
      <c r="D21">
        <v>11.81448</v>
      </c>
    </row>
    <row r="22" spans="1:4">
      <c r="A22" s="16" t="s">
        <v>21</v>
      </c>
      <c r="B22">
        <v>3.221548</v>
      </c>
      <c r="C22">
        <v>0</v>
      </c>
      <c r="D22">
        <v>3.221548</v>
      </c>
    </row>
    <row r="23" spans="1:4">
      <c r="A23" s="28" t="s">
        <v>10</v>
      </c>
      <c r="B23">
        <v>3.221548</v>
      </c>
      <c r="C23">
        <v>0</v>
      </c>
      <c r="D23">
        <v>3.221548</v>
      </c>
    </row>
    <row r="24" spans="1:4">
      <c r="A24" s="16" t="s">
        <v>22</v>
      </c>
      <c r="B24">
        <v>0.09306</v>
      </c>
      <c r="C24">
        <v>0.10134</v>
      </c>
      <c r="D24">
        <v>0.1944</v>
      </c>
    </row>
    <row r="25" spans="1:4">
      <c r="A25" s="28" t="s">
        <v>10</v>
      </c>
      <c r="B25">
        <v>0.09306</v>
      </c>
      <c r="C25">
        <v>0.10134</v>
      </c>
      <c r="D25">
        <v>0.1944</v>
      </c>
    </row>
    <row r="26" spans="1:4">
      <c r="A26" s="16" t="s">
        <v>23</v>
      </c>
      <c r="B26">
        <v>0.142324</v>
      </c>
      <c r="C26">
        <v>0.004556</v>
      </c>
      <c r="D26">
        <v>0.14688</v>
      </c>
    </row>
    <row r="27" spans="1:4">
      <c r="A27" s="28" t="s">
        <v>10</v>
      </c>
      <c r="B27">
        <v>0.142324</v>
      </c>
      <c r="C27">
        <v>0.004556</v>
      </c>
      <c r="D27">
        <v>0.14688</v>
      </c>
    </row>
    <row r="28" spans="1:4">
      <c r="A28" s="16" t="s">
        <v>24</v>
      </c>
      <c r="B28">
        <v>73.988959</v>
      </c>
      <c r="C28">
        <v>14.5</v>
      </c>
      <c r="D28">
        <v>88.488959</v>
      </c>
    </row>
    <row r="29" spans="1:4">
      <c r="A29" s="28" t="s">
        <v>10</v>
      </c>
      <c r="B29">
        <v>73.988959</v>
      </c>
      <c r="C29">
        <v>14.5</v>
      </c>
      <c r="D29">
        <v>88.488959</v>
      </c>
    </row>
    <row r="30" spans="1:4">
      <c r="A30" s="16" t="s">
        <v>25</v>
      </c>
      <c r="B30">
        <v>0.195183</v>
      </c>
      <c r="C30">
        <v>0.138825</v>
      </c>
      <c r="D30">
        <v>0.334008</v>
      </c>
    </row>
    <row r="31" spans="1:4">
      <c r="A31" s="28" t="s">
        <v>10</v>
      </c>
      <c r="B31">
        <v>0.195183</v>
      </c>
      <c r="C31">
        <v>0.138825</v>
      </c>
      <c r="D31">
        <v>0.334008</v>
      </c>
    </row>
    <row r="32" spans="1:4">
      <c r="A32" s="16" t="s">
        <v>26</v>
      </c>
      <c r="B32">
        <v>0</v>
      </c>
      <c r="C32">
        <v>6.48618</v>
      </c>
      <c r="D32">
        <v>6.48618</v>
      </c>
    </row>
    <row r="33" spans="1:4">
      <c r="A33" s="28" t="s">
        <v>10</v>
      </c>
      <c r="B33">
        <v>0</v>
      </c>
      <c r="C33">
        <v>6.48618</v>
      </c>
      <c r="D33">
        <v>6.48618</v>
      </c>
    </row>
    <row r="34" spans="1:4">
      <c r="A34" s="16" t="s">
        <v>27</v>
      </c>
      <c r="B34">
        <v>2.7216</v>
      </c>
      <c r="C34">
        <v>0</v>
      </c>
      <c r="D34">
        <v>2.7216</v>
      </c>
    </row>
    <row r="35" spans="1:4">
      <c r="A35" s="28" t="s">
        <v>10</v>
      </c>
      <c r="B35">
        <v>2.7216</v>
      </c>
      <c r="C35">
        <v>0</v>
      </c>
      <c r="D35">
        <v>2.7216</v>
      </c>
    </row>
    <row r="36" spans="1:4">
      <c r="A36" s="16" t="s">
        <v>28</v>
      </c>
      <c r="B36">
        <v>0.092268</v>
      </c>
      <c r="C36">
        <v>0</v>
      </c>
      <c r="D36">
        <v>0.092268</v>
      </c>
    </row>
    <row r="37" spans="1:4">
      <c r="A37" s="28" t="s">
        <v>10</v>
      </c>
      <c r="B37">
        <v>0.092268</v>
      </c>
      <c r="C37">
        <v>0</v>
      </c>
      <c r="D37">
        <v>0.092268</v>
      </c>
    </row>
    <row r="38" spans="1:4">
      <c r="A38" s="16" t="s">
        <v>29</v>
      </c>
      <c r="B38">
        <v>0.209194</v>
      </c>
      <c r="C38">
        <v>0.1944</v>
      </c>
      <c r="D38">
        <v>0.403594</v>
      </c>
    </row>
    <row r="39" spans="1:4">
      <c r="A39" s="28" t="s">
        <v>10</v>
      </c>
      <c r="B39">
        <v>0.209194</v>
      </c>
      <c r="C39">
        <v>0.1944</v>
      </c>
      <c r="D39">
        <v>0.403594</v>
      </c>
    </row>
    <row r="40" spans="1:4">
      <c r="A40" s="16" t="s">
        <v>30</v>
      </c>
      <c r="B40">
        <v>0</v>
      </c>
      <c r="C40">
        <v>3.58848</v>
      </c>
      <c r="D40">
        <v>3.58848</v>
      </c>
    </row>
    <row r="41" spans="1:4">
      <c r="A41" s="28" t="s">
        <v>10</v>
      </c>
      <c r="B41">
        <v>0</v>
      </c>
      <c r="C41">
        <v>3.58848</v>
      </c>
      <c r="D41">
        <v>3.58848</v>
      </c>
    </row>
    <row r="42" spans="1:4">
      <c r="A42" s="16" t="s">
        <v>31</v>
      </c>
      <c r="B42">
        <v>3.77208</v>
      </c>
      <c r="C42">
        <v>0</v>
      </c>
      <c r="D42">
        <v>3.77208</v>
      </c>
    </row>
    <row r="43" spans="1:4">
      <c r="A43" s="28" t="s">
        <v>10</v>
      </c>
      <c r="B43">
        <v>3.77208</v>
      </c>
      <c r="C43">
        <v>0</v>
      </c>
      <c r="D43">
        <v>3.77208</v>
      </c>
    </row>
    <row r="44" spans="1:4">
      <c r="A44" s="16" t="s">
        <v>32</v>
      </c>
      <c r="B44">
        <v>18.532064</v>
      </c>
      <c r="C44">
        <v>3.019186</v>
      </c>
      <c r="D44">
        <v>21.55125</v>
      </c>
    </row>
    <row r="45" spans="1:4">
      <c r="A45" s="28" t="s">
        <v>33</v>
      </c>
      <c r="B45">
        <v>18.532064</v>
      </c>
      <c r="C45">
        <v>3.019186</v>
      </c>
      <c r="D45">
        <v>21.55125</v>
      </c>
    </row>
    <row r="46" spans="1:4">
      <c r="A46" s="16" t="s">
        <v>34</v>
      </c>
      <c r="B46">
        <v>0.328064</v>
      </c>
      <c r="C46">
        <v>0</v>
      </c>
      <c r="D46">
        <v>0.328064</v>
      </c>
    </row>
    <row r="47" spans="1:4">
      <c r="A47" s="28" t="s">
        <v>10</v>
      </c>
      <c r="B47">
        <v>0.328064</v>
      </c>
      <c r="C47">
        <v>0</v>
      </c>
      <c r="D47">
        <v>0.328064</v>
      </c>
    </row>
    <row r="48" spans="1:4">
      <c r="A48" s="16" t="s">
        <v>35</v>
      </c>
      <c r="B48">
        <v>28.745226</v>
      </c>
      <c r="C48">
        <v>1.568214</v>
      </c>
      <c r="D48">
        <v>30.31344</v>
      </c>
    </row>
    <row r="49" spans="1:4">
      <c r="A49" s="28" t="s">
        <v>10</v>
      </c>
      <c r="B49">
        <v>28.745226</v>
      </c>
      <c r="C49">
        <v>1.568214</v>
      </c>
      <c r="D49">
        <v>30.31344</v>
      </c>
    </row>
    <row r="50" spans="1:4">
      <c r="A50" s="16" t="s">
        <v>36</v>
      </c>
      <c r="B50">
        <v>16.99852</v>
      </c>
      <c r="C50">
        <v>0</v>
      </c>
      <c r="D50">
        <v>16.99852</v>
      </c>
    </row>
    <row r="51" spans="1:4">
      <c r="A51" s="28" t="s">
        <v>10</v>
      </c>
      <c r="B51">
        <v>16.99852</v>
      </c>
      <c r="C51">
        <v>0</v>
      </c>
      <c r="D51">
        <v>16.99852</v>
      </c>
    </row>
    <row r="52" spans="1:4">
      <c r="A52" s="16" t="s">
        <v>37</v>
      </c>
      <c r="B52">
        <v>41.317424</v>
      </c>
      <c r="C52">
        <v>4.075072</v>
      </c>
      <c r="D52">
        <v>45.392496</v>
      </c>
    </row>
    <row r="53" spans="1:4">
      <c r="A53" s="28" t="s">
        <v>10</v>
      </c>
      <c r="B53">
        <v>41.317424</v>
      </c>
      <c r="C53">
        <v>4.075072</v>
      </c>
      <c r="D53">
        <v>45.392496</v>
      </c>
    </row>
    <row r="54" spans="1:4">
      <c r="A54" s="16" t="s">
        <v>38</v>
      </c>
      <c r="B54">
        <v>0.668326</v>
      </c>
      <c r="C54">
        <v>2.923023</v>
      </c>
      <c r="D54">
        <v>3.591349</v>
      </c>
    </row>
    <row r="55" spans="1:4">
      <c r="A55" s="28" t="s">
        <v>10</v>
      </c>
      <c r="B55">
        <v>0.668326</v>
      </c>
      <c r="C55">
        <v>2.923023</v>
      </c>
      <c r="D55">
        <v>3.591349</v>
      </c>
    </row>
    <row r="56" spans="1:4">
      <c r="A56" s="16" t="s">
        <v>39</v>
      </c>
      <c r="B56">
        <v>0.24984</v>
      </c>
      <c r="C56">
        <v>0</v>
      </c>
      <c r="D56">
        <v>0.24984</v>
      </c>
    </row>
    <row r="57" spans="1:4">
      <c r="A57" s="28" t="s">
        <v>10</v>
      </c>
      <c r="B57">
        <v>0.24984</v>
      </c>
      <c r="C57">
        <v>0</v>
      </c>
      <c r="D57">
        <v>0.24984</v>
      </c>
    </row>
    <row r="58" spans="1:4">
      <c r="A58" s="16" t="s">
        <v>40</v>
      </c>
      <c r="B58">
        <v>3.79008</v>
      </c>
      <c r="C58">
        <v>0</v>
      </c>
      <c r="D58">
        <v>3.79008</v>
      </c>
    </row>
    <row r="59" spans="1:4">
      <c r="A59" s="28" t="s">
        <v>10</v>
      </c>
      <c r="B59">
        <v>3.79008</v>
      </c>
      <c r="C59">
        <v>0</v>
      </c>
      <c r="D59">
        <v>3.79008</v>
      </c>
    </row>
    <row r="60" spans="1:4">
      <c r="A60" s="16" t="s">
        <v>41</v>
      </c>
      <c r="B60">
        <v>0.564102</v>
      </c>
      <c r="C60">
        <v>0</v>
      </c>
      <c r="D60">
        <v>0.564102</v>
      </c>
    </row>
    <row r="61" spans="1:4">
      <c r="A61" s="28" t="s">
        <v>10</v>
      </c>
      <c r="B61">
        <v>0.564102</v>
      </c>
      <c r="C61">
        <v>0</v>
      </c>
      <c r="D61">
        <v>0.564102</v>
      </c>
    </row>
    <row r="62" spans="1:4">
      <c r="A62" s="16" t="s">
        <v>42</v>
      </c>
      <c r="B62">
        <v>0.1944</v>
      </c>
      <c r="C62">
        <v>0</v>
      </c>
      <c r="D62">
        <v>0.1944</v>
      </c>
    </row>
    <row r="63" spans="1:4">
      <c r="A63" s="28" t="s">
        <v>10</v>
      </c>
      <c r="B63">
        <v>0.1944</v>
      </c>
      <c r="C63">
        <v>0</v>
      </c>
      <c r="D63">
        <v>0.1944</v>
      </c>
    </row>
    <row r="64" spans="1:4">
      <c r="A64" s="16" t="s">
        <v>43</v>
      </c>
      <c r="B64">
        <v>0.456705</v>
      </c>
      <c r="C64">
        <v>1.681695</v>
      </c>
      <c r="D64">
        <v>2.1384</v>
      </c>
    </row>
    <row r="65" spans="1:4">
      <c r="A65" s="28" t="s">
        <v>44</v>
      </c>
      <c r="B65">
        <v>0.456705</v>
      </c>
      <c r="C65">
        <v>1.681695</v>
      </c>
      <c r="D65">
        <v>2.1384</v>
      </c>
    </row>
    <row r="66" spans="1:4">
      <c r="A66" s="16" t="s">
        <v>45</v>
      </c>
      <c r="B66">
        <v>0</v>
      </c>
      <c r="C66">
        <v>0.1944</v>
      </c>
      <c r="D66">
        <v>0.1944</v>
      </c>
    </row>
    <row r="67" spans="1:4">
      <c r="A67" s="28" t="s">
        <v>46</v>
      </c>
      <c r="B67">
        <v>0</v>
      </c>
      <c r="C67">
        <v>0.1944</v>
      </c>
      <c r="D67">
        <v>0.1944</v>
      </c>
    </row>
    <row r="68" spans="1:4">
      <c r="A68" s="16" t="s">
        <v>47</v>
      </c>
      <c r="B68">
        <v>0</v>
      </c>
      <c r="C68">
        <v>8.3772</v>
      </c>
      <c r="D68">
        <v>8.3772</v>
      </c>
    </row>
    <row r="69" spans="1:4">
      <c r="A69" s="28" t="s">
        <v>10</v>
      </c>
      <c r="B69">
        <v>0</v>
      </c>
      <c r="C69">
        <v>8.3772</v>
      </c>
      <c r="D69">
        <v>8.3772</v>
      </c>
    </row>
    <row r="70" spans="1:4">
      <c r="A70" s="16" t="s">
        <v>48</v>
      </c>
      <c r="B70">
        <v>66.71943</v>
      </c>
      <c r="C70">
        <v>16.5</v>
      </c>
      <c r="D70">
        <v>83.21943</v>
      </c>
    </row>
    <row r="71" spans="1:4">
      <c r="A71" s="28" t="s">
        <v>10</v>
      </c>
      <c r="B71">
        <v>66.71943</v>
      </c>
      <c r="C71">
        <v>16.5</v>
      </c>
      <c r="D71">
        <v>83.21943</v>
      </c>
    </row>
    <row r="72" spans="1:4">
      <c r="A72" s="16" t="s">
        <v>49</v>
      </c>
      <c r="B72">
        <v>0</v>
      </c>
      <c r="C72">
        <v>0.1944</v>
      </c>
      <c r="D72">
        <v>0.1944</v>
      </c>
    </row>
    <row r="73" spans="1:4">
      <c r="A73" s="28" t="s">
        <v>10</v>
      </c>
      <c r="B73">
        <v>0</v>
      </c>
      <c r="C73">
        <v>0.1944</v>
      </c>
      <c r="D73">
        <v>0.1944</v>
      </c>
    </row>
    <row r="74" spans="1:4">
      <c r="A74" s="16" t="s">
        <v>50</v>
      </c>
      <c r="B74">
        <v>3.931125</v>
      </c>
      <c r="C74">
        <v>0.138861</v>
      </c>
      <c r="D74">
        <v>4.069986</v>
      </c>
    </row>
    <row r="75" spans="1:4">
      <c r="A75" s="28" t="s">
        <v>10</v>
      </c>
      <c r="B75">
        <v>3.931125</v>
      </c>
      <c r="C75">
        <v>0.138861</v>
      </c>
      <c r="D75">
        <v>4.069986</v>
      </c>
    </row>
    <row r="76" spans="1:4">
      <c r="A76" s="16" t="s">
        <v>51</v>
      </c>
      <c r="B76">
        <v>0.5832</v>
      </c>
      <c r="C76">
        <v>0</v>
      </c>
      <c r="D76">
        <v>0.5832</v>
      </c>
    </row>
    <row r="77" spans="1:4">
      <c r="A77" s="28" t="s">
        <v>10</v>
      </c>
      <c r="B77">
        <v>0.5832</v>
      </c>
      <c r="C77">
        <v>0</v>
      </c>
      <c r="D77">
        <v>0.5832</v>
      </c>
    </row>
    <row r="78" spans="1:4">
      <c r="A78" s="16" t="s">
        <v>52</v>
      </c>
      <c r="B78">
        <v>63.739946</v>
      </c>
      <c r="C78">
        <v>0</v>
      </c>
      <c r="D78">
        <v>63.739946</v>
      </c>
    </row>
    <row r="79" spans="1:4">
      <c r="A79" s="28" t="s">
        <v>10</v>
      </c>
      <c r="B79">
        <v>63.739946</v>
      </c>
      <c r="C79">
        <v>0</v>
      </c>
      <c r="D79">
        <v>63.739946</v>
      </c>
    </row>
    <row r="80" spans="1:4">
      <c r="A80" s="16" t="s">
        <v>53</v>
      </c>
      <c r="B80">
        <v>0.14688</v>
      </c>
      <c r="C80">
        <v>0</v>
      </c>
      <c r="D80">
        <v>0.14688</v>
      </c>
    </row>
    <row r="81" spans="1:4">
      <c r="A81" s="28" t="s">
        <v>10</v>
      </c>
      <c r="B81">
        <v>0.14688</v>
      </c>
      <c r="C81">
        <v>0</v>
      </c>
      <c r="D81">
        <v>0.14688</v>
      </c>
    </row>
    <row r="82" spans="1:4">
      <c r="A82" s="16" t="s">
        <v>54</v>
      </c>
      <c r="B82">
        <v>4.302404</v>
      </c>
      <c r="C82">
        <v>6.463756</v>
      </c>
      <c r="D82">
        <v>10.76616</v>
      </c>
    </row>
    <row r="83" spans="1:4">
      <c r="A83" s="28" t="s">
        <v>10</v>
      </c>
      <c r="B83">
        <v>4.302404</v>
      </c>
      <c r="C83">
        <v>6.463756</v>
      </c>
      <c r="D83">
        <v>10.76616</v>
      </c>
    </row>
    <row r="84" spans="1:4">
      <c r="A84" s="16" t="s">
        <v>55</v>
      </c>
      <c r="B84">
        <v>0</v>
      </c>
      <c r="C84">
        <v>8.27154</v>
      </c>
      <c r="D84">
        <v>8.27154</v>
      </c>
    </row>
    <row r="85" spans="1:4">
      <c r="A85" s="28" t="s">
        <v>56</v>
      </c>
      <c r="B85">
        <v>0</v>
      </c>
      <c r="C85">
        <v>8.27154</v>
      </c>
      <c r="D85">
        <v>8.27154</v>
      </c>
    </row>
    <row r="86" spans="1:4">
      <c r="A86" s="16" t="s">
        <v>57</v>
      </c>
      <c r="B86">
        <v>24.398092</v>
      </c>
      <c r="C86">
        <v>7.5</v>
      </c>
      <c r="D86">
        <v>31.898092</v>
      </c>
    </row>
    <row r="87" spans="1:4">
      <c r="A87" s="28" t="s">
        <v>10</v>
      </c>
      <c r="B87">
        <v>24.398092</v>
      </c>
      <c r="C87">
        <v>7.5</v>
      </c>
      <c r="D87">
        <v>31.898092</v>
      </c>
    </row>
    <row r="88" spans="1:4">
      <c r="A88" s="16" t="s">
        <v>58</v>
      </c>
      <c r="B88">
        <v>0.309924</v>
      </c>
      <c r="C88">
        <v>8.610156</v>
      </c>
      <c r="D88">
        <v>8.92008</v>
      </c>
    </row>
    <row r="89" spans="1:4">
      <c r="A89" s="28" t="s">
        <v>10</v>
      </c>
      <c r="B89">
        <v>0.309924</v>
      </c>
      <c r="C89">
        <v>8.610156</v>
      </c>
      <c r="D89">
        <v>8.92008</v>
      </c>
    </row>
    <row r="90" spans="1:4">
      <c r="A90" s="16" t="s">
        <v>59</v>
      </c>
      <c r="B90">
        <v>3.114754</v>
      </c>
      <c r="C90">
        <v>0.051086</v>
      </c>
      <c r="D90">
        <v>3.16584</v>
      </c>
    </row>
    <row r="91" spans="1:4">
      <c r="A91" s="28" t="s">
        <v>10</v>
      </c>
      <c r="B91">
        <v>3.114754</v>
      </c>
      <c r="C91">
        <v>0.051086</v>
      </c>
      <c r="D91">
        <v>3.16584</v>
      </c>
    </row>
    <row r="92" spans="1:4">
      <c r="A92" s="16" t="s">
        <v>60</v>
      </c>
      <c r="B92">
        <v>61.616128</v>
      </c>
      <c r="C92">
        <v>7.5</v>
      </c>
      <c r="D92">
        <v>69.116128</v>
      </c>
    </row>
    <row r="93" spans="1:4">
      <c r="A93" s="28" t="s">
        <v>10</v>
      </c>
      <c r="B93">
        <v>61.616128</v>
      </c>
      <c r="C93">
        <v>7.5</v>
      </c>
      <c r="D93">
        <v>69.116128</v>
      </c>
    </row>
    <row r="94" spans="1:4">
      <c r="A94" s="16" t="s">
        <v>61</v>
      </c>
      <c r="B94">
        <v>0</v>
      </c>
      <c r="C94">
        <v>105.73704</v>
      </c>
      <c r="D94">
        <v>105.73704</v>
      </c>
    </row>
    <row r="95" spans="1:4">
      <c r="A95" s="28" t="s">
        <v>10</v>
      </c>
      <c r="B95">
        <v>0</v>
      </c>
      <c r="C95">
        <v>105.73704</v>
      </c>
      <c r="D95">
        <v>105.73704</v>
      </c>
    </row>
    <row r="96" spans="1:4">
      <c r="A96" s="16" t="s">
        <v>62</v>
      </c>
      <c r="B96">
        <v>0.18882</v>
      </c>
      <c r="C96">
        <v>0.00558</v>
      </c>
      <c r="D96">
        <v>0.1944</v>
      </c>
    </row>
    <row r="97" spans="1:4">
      <c r="A97" s="28" t="s">
        <v>10</v>
      </c>
      <c r="B97">
        <v>0.18882</v>
      </c>
      <c r="C97">
        <v>0.00558</v>
      </c>
      <c r="D97">
        <v>0.1944</v>
      </c>
    </row>
    <row r="98" spans="1:4">
      <c r="A98" s="16" t="s">
        <v>63</v>
      </c>
      <c r="B98">
        <v>4.675264</v>
      </c>
      <c r="C98">
        <v>0.106256</v>
      </c>
      <c r="D98">
        <v>4.78152</v>
      </c>
    </row>
    <row r="99" spans="1:4">
      <c r="A99" s="28" t="s">
        <v>10</v>
      </c>
      <c r="B99">
        <v>4.675264</v>
      </c>
      <c r="C99">
        <v>0.106256</v>
      </c>
      <c r="D99">
        <v>4.78152</v>
      </c>
    </row>
    <row r="100" spans="1:4">
      <c r="A100" s="16" t="s">
        <v>64</v>
      </c>
      <c r="B100">
        <v>0.19368</v>
      </c>
      <c r="C100">
        <v>0.00072</v>
      </c>
      <c r="D100">
        <v>0.1944</v>
      </c>
    </row>
    <row r="101" spans="1:4">
      <c r="A101" s="28" t="s">
        <v>10</v>
      </c>
      <c r="B101">
        <v>0.19368</v>
      </c>
      <c r="C101">
        <v>0.00072</v>
      </c>
      <c r="D101">
        <v>0.1944</v>
      </c>
    </row>
    <row r="102" spans="1:4">
      <c r="A102" s="16" t="s">
        <v>65</v>
      </c>
      <c r="B102">
        <v>1.30608</v>
      </c>
      <c r="C102">
        <v>0</v>
      </c>
      <c r="D102">
        <v>1.30608</v>
      </c>
    </row>
    <row r="103" spans="1:4">
      <c r="A103" s="28" t="s">
        <v>10</v>
      </c>
      <c r="B103">
        <v>1.30608</v>
      </c>
      <c r="C103">
        <v>0</v>
      </c>
      <c r="D103">
        <v>1.30608</v>
      </c>
    </row>
    <row r="104" spans="1:4">
      <c r="A104" s="16" t="s">
        <v>66</v>
      </c>
      <c r="B104">
        <v>0</v>
      </c>
      <c r="C104">
        <v>0.1944</v>
      </c>
      <c r="D104">
        <v>0.1944</v>
      </c>
    </row>
    <row r="105" spans="1:4">
      <c r="A105" s="28" t="s">
        <v>10</v>
      </c>
      <c r="B105">
        <v>0</v>
      </c>
      <c r="C105">
        <v>0.1944</v>
      </c>
      <c r="D105">
        <v>0.1944</v>
      </c>
    </row>
    <row r="106" spans="1:4">
      <c r="A106" s="16" t="s">
        <v>67</v>
      </c>
      <c r="B106">
        <v>14.935403</v>
      </c>
      <c r="C106">
        <v>3.86712</v>
      </c>
      <c r="D106">
        <v>18.802523</v>
      </c>
    </row>
    <row r="107" spans="1:4">
      <c r="A107" s="28" t="s">
        <v>68</v>
      </c>
      <c r="B107">
        <v>14.935403</v>
      </c>
      <c r="C107">
        <v>3.86712</v>
      </c>
      <c r="D107">
        <v>18.802523</v>
      </c>
    </row>
    <row r="108" spans="1:4">
      <c r="A108" s="16" t="s">
        <v>69</v>
      </c>
      <c r="B108">
        <v>0.55045</v>
      </c>
      <c r="C108">
        <v>0.00218</v>
      </c>
      <c r="D108">
        <v>0.55263</v>
      </c>
    </row>
    <row r="109" spans="1:4">
      <c r="A109" s="16" t="s">
        <v>70</v>
      </c>
      <c r="B109">
        <v>0.95616</v>
      </c>
      <c r="C109">
        <v>0</v>
      </c>
      <c r="D109">
        <v>0.95616</v>
      </c>
    </row>
    <row r="110" spans="1:4">
      <c r="A110" s="28" t="s">
        <v>10</v>
      </c>
      <c r="B110">
        <v>0.95616</v>
      </c>
      <c r="C110">
        <v>0</v>
      </c>
      <c r="D110">
        <v>0.95616</v>
      </c>
    </row>
    <row r="111" spans="1:4">
      <c r="A111" s="16" t="s">
        <v>71</v>
      </c>
      <c r="B111">
        <v>4.85712</v>
      </c>
      <c r="C111">
        <v>0</v>
      </c>
      <c r="D111">
        <v>4.85712</v>
      </c>
    </row>
    <row r="112" spans="1:4">
      <c r="A112" s="28" t="s">
        <v>10</v>
      </c>
      <c r="B112">
        <v>4.85712</v>
      </c>
      <c r="C112">
        <v>0</v>
      </c>
      <c r="D112">
        <v>4.85712</v>
      </c>
    </row>
    <row r="113" spans="1:4">
      <c r="A113" s="16" t="s">
        <v>72</v>
      </c>
      <c r="B113">
        <v>40.038145</v>
      </c>
      <c r="C113">
        <v>0</v>
      </c>
      <c r="D113">
        <v>40.038145</v>
      </c>
    </row>
    <row r="114" spans="1:4">
      <c r="A114" s="28" t="s">
        <v>10</v>
      </c>
      <c r="B114">
        <v>40.038145</v>
      </c>
      <c r="C114">
        <v>0</v>
      </c>
      <c r="D114">
        <v>40.038145</v>
      </c>
    </row>
    <row r="115" spans="1:4">
      <c r="A115" s="16" t="s">
        <v>73</v>
      </c>
      <c r="B115">
        <v>4.85928</v>
      </c>
      <c r="C115">
        <v>0</v>
      </c>
      <c r="D115">
        <v>4.85928</v>
      </c>
    </row>
    <row r="116" spans="1:4">
      <c r="A116" s="28" t="s">
        <v>10</v>
      </c>
      <c r="B116">
        <v>4.85928</v>
      </c>
      <c r="C116">
        <v>0</v>
      </c>
      <c r="D116">
        <v>4.85928</v>
      </c>
    </row>
    <row r="117" spans="1:4">
      <c r="A117" s="16" t="s">
        <v>74</v>
      </c>
      <c r="B117">
        <v>5.328344</v>
      </c>
      <c r="C117">
        <v>7.810216</v>
      </c>
      <c r="D117">
        <v>13.13856</v>
      </c>
    </row>
    <row r="118" spans="1:4">
      <c r="A118" s="28" t="s">
        <v>10</v>
      </c>
      <c r="B118">
        <v>5.328344</v>
      </c>
      <c r="C118">
        <v>7.810216</v>
      </c>
      <c r="D118">
        <v>13.13856</v>
      </c>
    </row>
    <row r="119" spans="1:4">
      <c r="A119" s="16" t="s">
        <v>75</v>
      </c>
      <c r="B119">
        <v>7.473528</v>
      </c>
      <c r="C119">
        <v>0</v>
      </c>
      <c r="D119">
        <v>7.473528</v>
      </c>
    </row>
    <row r="120" spans="1:4">
      <c r="A120" s="28" t="s">
        <v>10</v>
      </c>
      <c r="B120">
        <v>7.473528</v>
      </c>
      <c r="C120">
        <v>0</v>
      </c>
      <c r="D120">
        <v>7.473528</v>
      </c>
    </row>
    <row r="121" spans="1:4">
      <c r="A121" s="16" t="s">
        <v>76</v>
      </c>
      <c r="B121">
        <v>5.101485</v>
      </c>
      <c r="C121">
        <v>7.5</v>
      </c>
      <c r="D121">
        <v>12.601485</v>
      </c>
    </row>
    <row r="122" spans="1:4">
      <c r="A122" s="28" t="s">
        <v>10</v>
      </c>
      <c r="B122">
        <v>5.101485</v>
      </c>
      <c r="C122">
        <v>7.5</v>
      </c>
      <c r="D122">
        <v>12.601485</v>
      </c>
    </row>
    <row r="123" spans="1:4">
      <c r="A123" s="16" t="s">
        <v>77</v>
      </c>
      <c r="B123">
        <v>7.87104</v>
      </c>
      <c r="C123">
        <v>0</v>
      </c>
      <c r="D123">
        <v>7.87104</v>
      </c>
    </row>
    <row r="124" spans="1:4">
      <c r="A124" s="28" t="s">
        <v>10</v>
      </c>
      <c r="B124">
        <v>7.87104</v>
      </c>
      <c r="C124">
        <v>0</v>
      </c>
      <c r="D124">
        <v>7.87104</v>
      </c>
    </row>
    <row r="125" spans="1:4">
      <c r="A125" s="16" t="s">
        <v>78</v>
      </c>
      <c r="B125">
        <v>3.538571</v>
      </c>
      <c r="C125">
        <v>0.069616</v>
      </c>
      <c r="D125">
        <v>3.608187</v>
      </c>
    </row>
    <row r="126" spans="1:4">
      <c r="A126" s="28" t="s">
        <v>10</v>
      </c>
      <c r="B126">
        <v>3.538571</v>
      </c>
      <c r="C126">
        <v>0.069616</v>
      </c>
      <c r="D126">
        <v>3.608187</v>
      </c>
    </row>
    <row r="127" spans="1:4">
      <c r="A127" s="16" t="s">
        <v>79</v>
      </c>
      <c r="B127">
        <v>0</v>
      </c>
      <c r="C127">
        <v>0.1944</v>
      </c>
      <c r="D127">
        <v>0.1944</v>
      </c>
    </row>
    <row r="128" spans="1:4">
      <c r="A128" s="28" t="s">
        <v>10</v>
      </c>
      <c r="B128">
        <v>0</v>
      </c>
      <c r="C128">
        <v>0.1944</v>
      </c>
      <c r="D128">
        <v>0.1944</v>
      </c>
    </row>
    <row r="129" spans="1:4">
      <c r="A129" s="16" t="s">
        <v>80</v>
      </c>
      <c r="B129">
        <v>3.503752</v>
      </c>
      <c r="C129">
        <v>0.084728</v>
      </c>
      <c r="D129">
        <v>3.58848</v>
      </c>
    </row>
    <row r="130" spans="1:4">
      <c r="A130" s="28" t="s">
        <v>10</v>
      </c>
      <c r="B130">
        <v>3.503752</v>
      </c>
      <c r="C130">
        <v>0.084728</v>
      </c>
      <c r="D130">
        <v>3.58848</v>
      </c>
    </row>
    <row r="131" spans="1:4">
      <c r="A131" s="16" t="s">
        <v>81</v>
      </c>
      <c r="B131">
        <v>0</v>
      </c>
      <c r="C131">
        <v>0.1944</v>
      </c>
      <c r="D131">
        <v>0.1944</v>
      </c>
    </row>
    <row r="132" spans="1:4">
      <c r="A132" s="28" t="s">
        <v>10</v>
      </c>
      <c r="B132">
        <v>0</v>
      </c>
      <c r="C132">
        <v>0.1944</v>
      </c>
      <c r="D132">
        <v>0.1944</v>
      </c>
    </row>
    <row r="133" spans="1:4">
      <c r="A133" s="16" t="s">
        <v>82</v>
      </c>
      <c r="B133">
        <v>1.387282</v>
      </c>
      <c r="C133">
        <v>0</v>
      </c>
      <c r="D133">
        <v>1.387282</v>
      </c>
    </row>
    <row r="134" spans="1:4">
      <c r="A134" s="28" t="s">
        <v>10</v>
      </c>
      <c r="B134">
        <v>1.387282</v>
      </c>
      <c r="C134">
        <v>0</v>
      </c>
      <c r="D134">
        <v>1.387282</v>
      </c>
    </row>
    <row r="135" spans="1:4">
      <c r="A135" s="16" t="s">
        <v>83</v>
      </c>
      <c r="B135">
        <v>17.704174</v>
      </c>
      <c r="C135">
        <v>8.959058</v>
      </c>
      <c r="D135">
        <v>26.663232</v>
      </c>
    </row>
    <row r="136" spans="1:4">
      <c r="A136" s="28" t="s">
        <v>10</v>
      </c>
      <c r="B136">
        <v>17.704174</v>
      </c>
      <c r="C136">
        <v>8.959058</v>
      </c>
      <c r="D136">
        <v>26.663232</v>
      </c>
    </row>
    <row r="137" spans="1:4">
      <c r="A137" s="16" t="s">
        <v>84</v>
      </c>
      <c r="B137">
        <v>24.62496</v>
      </c>
      <c r="C137">
        <v>7.6944</v>
      </c>
      <c r="D137">
        <v>32.31936</v>
      </c>
    </row>
    <row r="138" spans="1:4">
      <c r="A138" s="28" t="s">
        <v>10</v>
      </c>
      <c r="B138">
        <v>24.62496</v>
      </c>
      <c r="C138">
        <v>7.6944</v>
      </c>
      <c r="D138">
        <v>32.31936</v>
      </c>
    </row>
    <row r="139" spans="1:4">
      <c r="A139" s="16" t="s">
        <v>85</v>
      </c>
      <c r="B139">
        <v>5.412676</v>
      </c>
      <c r="C139">
        <v>0.101804</v>
      </c>
      <c r="D139">
        <v>5.51448</v>
      </c>
    </row>
    <row r="140" spans="1:4">
      <c r="A140" s="28" t="s">
        <v>10</v>
      </c>
      <c r="B140">
        <v>5.412676</v>
      </c>
      <c r="C140">
        <v>0.101804</v>
      </c>
      <c r="D140">
        <v>5.51448</v>
      </c>
    </row>
    <row r="141" spans="1:4">
      <c r="A141" s="16" t="s">
        <v>86</v>
      </c>
      <c r="B141">
        <v>0</v>
      </c>
      <c r="C141">
        <v>6.804</v>
      </c>
      <c r="D141">
        <v>6.804</v>
      </c>
    </row>
    <row r="142" spans="1:4">
      <c r="A142" s="28" t="s">
        <v>10</v>
      </c>
      <c r="B142">
        <v>0</v>
      </c>
      <c r="C142">
        <v>6.804</v>
      </c>
      <c r="D142">
        <v>6.804</v>
      </c>
    </row>
    <row r="143" spans="1:4">
      <c r="A143" s="16" t="s">
        <v>87</v>
      </c>
      <c r="B143">
        <v>0.310822</v>
      </c>
      <c r="C143">
        <v>1.14912</v>
      </c>
      <c r="D143">
        <v>1.459942</v>
      </c>
    </row>
    <row r="144" spans="1:4">
      <c r="A144" s="28" t="s">
        <v>10</v>
      </c>
      <c r="B144">
        <v>0.310822</v>
      </c>
      <c r="C144">
        <v>1.14912</v>
      </c>
      <c r="D144">
        <v>1.459942</v>
      </c>
    </row>
    <row r="145" spans="1:4">
      <c r="A145" s="16" t="s">
        <v>88</v>
      </c>
      <c r="B145">
        <v>0</v>
      </c>
      <c r="C145">
        <v>0.1944</v>
      </c>
      <c r="D145">
        <v>0.1944</v>
      </c>
    </row>
    <row r="146" spans="1:4">
      <c r="A146" s="28" t="s">
        <v>10</v>
      </c>
      <c r="B146">
        <v>0</v>
      </c>
      <c r="C146">
        <v>0.1944</v>
      </c>
      <c r="D146">
        <v>0.1944</v>
      </c>
    </row>
    <row r="147" spans="1:4">
      <c r="A147" s="16" t="s">
        <v>89</v>
      </c>
      <c r="B147">
        <v>2.13282</v>
      </c>
      <c r="C147">
        <v>0.07038</v>
      </c>
      <c r="D147">
        <v>2.2032</v>
      </c>
    </row>
    <row r="148" spans="1:4">
      <c r="A148" s="28" t="s">
        <v>10</v>
      </c>
      <c r="B148">
        <v>2.13282</v>
      </c>
      <c r="C148">
        <v>0.07038</v>
      </c>
      <c r="D148">
        <v>2.2032</v>
      </c>
    </row>
    <row r="149" spans="1:4">
      <c r="A149" s="16" t="s">
        <v>90</v>
      </c>
      <c r="B149">
        <v>0</v>
      </c>
      <c r="C149">
        <v>0.14688</v>
      </c>
      <c r="D149">
        <v>0.14688</v>
      </c>
    </row>
    <row r="150" spans="1:4">
      <c r="A150" s="28" t="s">
        <v>10</v>
      </c>
      <c r="B150">
        <v>0</v>
      </c>
      <c r="C150">
        <v>0.14688</v>
      </c>
      <c r="D150">
        <v>0.14688</v>
      </c>
    </row>
    <row r="151" spans="1:4">
      <c r="A151" s="16" t="s">
        <v>91</v>
      </c>
      <c r="B151">
        <v>4.972472</v>
      </c>
      <c r="C151">
        <v>0</v>
      </c>
      <c r="D151">
        <v>4.972472</v>
      </c>
    </row>
    <row r="152" spans="1:4">
      <c r="A152" s="28" t="s">
        <v>10</v>
      </c>
      <c r="B152">
        <v>4.972472</v>
      </c>
      <c r="C152">
        <v>0</v>
      </c>
      <c r="D152">
        <v>4.972472</v>
      </c>
    </row>
    <row r="153" spans="1:4">
      <c r="A153" s="16" t="s">
        <v>92</v>
      </c>
      <c r="B153">
        <v>0.1881</v>
      </c>
      <c r="C153">
        <v>0.0063</v>
      </c>
      <c r="D153">
        <v>0.1944</v>
      </c>
    </row>
    <row r="154" spans="1:4">
      <c r="A154" s="28" t="s">
        <v>10</v>
      </c>
      <c r="B154">
        <v>0.1881</v>
      </c>
      <c r="C154">
        <v>0.0063</v>
      </c>
      <c r="D154">
        <v>0.1944</v>
      </c>
    </row>
    <row r="155" spans="1:4">
      <c r="A155" s="16" t="s">
        <v>93</v>
      </c>
      <c r="B155">
        <v>7.339404</v>
      </c>
      <c r="C155">
        <v>3.58848</v>
      </c>
      <c r="D155">
        <v>10.927884</v>
      </c>
    </row>
    <row r="156" spans="1:4">
      <c r="A156" s="28" t="s">
        <v>10</v>
      </c>
      <c r="B156">
        <v>7.339404</v>
      </c>
      <c r="C156">
        <v>3.58848</v>
      </c>
      <c r="D156">
        <v>10.927884</v>
      </c>
    </row>
    <row r="157" spans="1:4">
      <c r="A157" s="16" t="s">
        <v>94</v>
      </c>
      <c r="B157">
        <v>1.176033</v>
      </c>
      <c r="C157">
        <v>7.313487</v>
      </c>
      <c r="D157">
        <v>8.48952</v>
      </c>
    </row>
    <row r="158" spans="1:4">
      <c r="A158" s="28" t="s">
        <v>10</v>
      </c>
      <c r="B158">
        <v>1.176033</v>
      </c>
      <c r="C158">
        <v>7.313487</v>
      </c>
      <c r="D158">
        <v>8.48952</v>
      </c>
    </row>
    <row r="159" spans="1:4">
      <c r="A159" s="16" t="s">
        <v>95</v>
      </c>
      <c r="B159">
        <v>1781.98747</v>
      </c>
      <c r="C159">
        <v>0</v>
      </c>
      <c r="D159">
        <v>1781.98747</v>
      </c>
    </row>
    <row r="160" spans="1:4">
      <c r="A160" s="28" t="s">
        <v>10</v>
      </c>
      <c r="B160">
        <v>1781.98747</v>
      </c>
      <c r="C160">
        <v>0</v>
      </c>
      <c r="D160">
        <v>1781.98747</v>
      </c>
    </row>
    <row r="161" spans="1:4">
      <c r="A161" s="16" t="s">
        <v>96</v>
      </c>
      <c r="B161">
        <v>1.628496</v>
      </c>
      <c r="C161">
        <v>0</v>
      </c>
      <c r="D161">
        <v>1.628496</v>
      </c>
    </row>
    <row r="162" spans="1:4">
      <c r="A162" s="28" t="s">
        <v>10</v>
      </c>
      <c r="B162">
        <v>1.628496</v>
      </c>
      <c r="C162">
        <v>0</v>
      </c>
      <c r="D162">
        <v>1.628496</v>
      </c>
    </row>
    <row r="163" spans="1:4">
      <c r="A163" s="16" t="s">
        <v>97</v>
      </c>
      <c r="B163">
        <v>14.796</v>
      </c>
      <c r="C163">
        <v>0</v>
      </c>
      <c r="D163">
        <v>14.796</v>
      </c>
    </row>
    <row r="164" spans="1:4">
      <c r="A164" s="28" t="s">
        <v>10</v>
      </c>
      <c r="B164">
        <v>14.796</v>
      </c>
      <c r="C164">
        <v>0</v>
      </c>
      <c r="D164">
        <v>14.796</v>
      </c>
    </row>
    <row r="165" spans="1:4">
      <c r="A165" s="16" t="s">
        <v>98</v>
      </c>
      <c r="B165">
        <v>5.378674</v>
      </c>
      <c r="C165">
        <v>7.431566</v>
      </c>
      <c r="D165">
        <v>12.81024</v>
      </c>
    </row>
    <row r="166" spans="1:4">
      <c r="A166" s="28" t="s">
        <v>10</v>
      </c>
      <c r="B166">
        <v>5.378674</v>
      </c>
      <c r="C166">
        <v>7.431566</v>
      </c>
      <c r="D166">
        <v>12.81024</v>
      </c>
    </row>
    <row r="167" spans="1:4">
      <c r="A167" s="16" t="s">
        <v>99</v>
      </c>
      <c r="B167">
        <v>8839.505568</v>
      </c>
      <c r="C167">
        <v>9.386688</v>
      </c>
      <c r="D167">
        <v>8848.892256</v>
      </c>
    </row>
    <row r="168" spans="1:4">
      <c r="A168" s="28" t="s">
        <v>10</v>
      </c>
      <c r="B168">
        <v>8839.505568</v>
      </c>
      <c r="C168">
        <v>9.386688</v>
      </c>
      <c r="D168">
        <v>8848.892256</v>
      </c>
    </row>
    <row r="169" spans="1:4">
      <c r="A169" s="16" t="s">
        <v>100</v>
      </c>
      <c r="B169">
        <v>30.84336</v>
      </c>
      <c r="C169">
        <v>1.118778</v>
      </c>
      <c r="D169">
        <v>31.962138</v>
      </c>
    </row>
    <row r="170" spans="1:4">
      <c r="A170" s="28" t="s">
        <v>10</v>
      </c>
      <c r="B170">
        <v>30.84336</v>
      </c>
      <c r="C170">
        <v>1.118778</v>
      </c>
      <c r="D170">
        <v>31.962138</v>
      </c>
    </row>
    <row r="171" spans="1:4">
      <c r="A171" s="16" t="s">
        <v>101</v>
      </c>
      <c r="B171">
        <v>18.89568</v>
      </c>
      <c r="C171">
        <v>0</v>
      </c>
      <c r="D171">
        <v>18.89568</v>
      </c>
    </row>
    <row r="172" spans="1:4">
      <c r="A172" s="28" t="s">
        <v>10</v>
      </c>
      <c r="B172">
        <v>18.89568</v>
      </c>
      <c r="C172">
        <v>0</v>
      </c>
      <c r="D172">
        <v>18.89568</v>
      </c>
    </row>
    <row r="173" spans="1:4">
      <c r="A173" s="16" t="s">
        <v>102</v>
      </c>
      <c r="B173">
        <v>4461.856529</v>
      </c>
      <c r="C173">
        <v>37.873962</v>
      </c>
      <c r="D173">
        <v>4499.730491</v>
      </c>
    </row>
    <row r="174" spans="1:4">
      <c r="A174" s="28" t="s">
        <v>103</v>
      </c>
      <c r="B174">
        <v>4461.856529</v>
      </c>
      <c r="C174">
        <v>37.873962</v>
      </c>
      <c r="D174">
        <v>4499.730491</v>
      </c>
    </row>
    <row r="175" spans="1:4">
      <c r="A175" s="16" t="s">
        <v>104</v>
      </c>
      <c r="B175">
        <v>3.1059</v>
      </c>
      <c r="C175">
        <v>0</v>
      </c>
      <c r="D175">
        <v>3.1059</v>
      </c>
    </row>
    <row r="176" spans="1:4">
      <c r="A176" s="28" t="s">
        <v>10</v>
      </c>
      <c r="B176">
        <v>3.1059</v>
      </c>
      <c r="C176">
        <v>0</v>
      </c>
      <c r="D176">
        <v>3.1059</v>
      </c>
    </row>
    <row r="177" spans="1:4">
      <c r="A177" s="16" t="s">
        <v>105</v>
      </c>
      <c r="B177">
        <v>8.979354</v>
      </c>
      <c r="C177">
        <v>10.951742</v>
      </c>
      <c r="D177">
        <v>19.931096</v>
      </c>
    </row>
    <row r="178" spans="1:4">
      <c r="A178" s="28" t="s">
        <v>10</v>
      </c>
      <c r="B178">
        <v>8.979354</v>
      </c>
      <c r="C178">
        <v>10.951742</v>
      </c>
      <c r="D178">
        <v>19.931096</v>
      </c>
    </row>
    <row r="179" spans="1:4">
      <c r="A179" s="16" t="s">
        <v>106</v>
      </c>
      <c r="B179">
        <v>17.802622</v>
      </c>
      <c r="C179">
        <v>6.049296</v>
      </c>
      <c r="D179">
        <v>23.851918</v>
      </c>
    </row>
    <row r="180" spans="1:4">
      <c r="A180" s="28" t="s">
        <v>107</v>
      </c>
      <c r="B180">
        <v>17.802622</v>
      </c>
      <c r="C180">
        <v>6.049296</v>
      </c>
      <c r="D180">
        <v>23.851918</v>
      </c>
    </row>
    <row r="181" spans="1:4">
      <c r="A181" s="16" t="s">
        <v>108</v>
      </c>
      <c r="B181">
        <v>0</v>
      </c>
      <c r="C181">
        <v>1.296</v>
      </c>
      <c r="D181">
        <v>1.296</v>
      </c>
    </row>
    <row r="182" spans="1:4">
      <c r="A182" s="28" t="s">
        <v>10</v>
      </c>
      <c r="B182">
        <v>0</v>
      </c>
      <c r="C182">
        <v>1.296</v>
      </c>
      <c r="D182">
        <v>1.296</v>
      </c>
    </row>
    <row r="183" spans="1:4">
      <c r="A183" s="16" t="s">
        <v>109</v>
      </c>
      <c r="B183">
        <v>0</v>
      </c>
      <c r="C183">
        <v>1276.718481</v>
      </c>
      <c r="D183">
        <v>1276.718481</v>
      </c>
    </row>
    <row r="184" spans="1:4">
      <c r="A184" s="28" t="s">
        <v>10</v>
      </c>
      <c r="B184">
        <v>0</v>
      </c>
      <c r="C184">
        <v>1276.718481</v>
      </c>
      <c r="D184">
        <v>1276.718481</v>
      </c>
    </row>
    <row r="185" spans="1:4">
      <c r="A185" s="16" t="s">
        <v>110</v>
      </c>
      <c r="B185">
        <v>14.949495</v>
      </c>
      <c r="C185">
        <v>0</v>
      </c>
      <c r="D185">
        <v>14.949495</v>
      </c>
    </row>
    <row r="186" spans="1:4">
      <c r="A186" s="28" t="s">
        <v>10</v>
      </c>
      <c r="B186">
        <v>14.949495</v>
      </c>
      <c r="C186">
        <v>0</v>
      </c>
      <c r="D186">
        <v>14.949495</v>
      </c>
    </row>
    <row r="187" spans="1:4">
      <c r="A187" s="16" t="s">
        <v>111</v>
      </c>
      <c r="B187">
        <v>29.554875</v>
      </c>
      <c r="C187">
        <v>0</v>
      </c>
      <c r="D187">
        <v>29.554875</v>
      </c>
    </row>
    <row r="188" spans="1:4">
      <c r="A188" s="28" t="s">
        <v>10</v>
      </c>
      <c r="B188">
        <v>29.554875</v>
      </c>
      <c r="C188">
        <v>0</v>
      </c>
      <c r="D188">
        <v>29.554875</v>
      </c>
    </row>
    <row r="189" spans="1:4">
      <c r="A189" s="16" t="s">
        <v>112</v>
      </c>
      <c r="B189">
        <v>1214.363846</v>
      </c>
      <c r="C189">
        <v>0</v>
      </c>
      <c r="D189">
        <v>1214.363846</v>
      </c>
    </row>
    <row r="190" spans="1:4">
      <c r="A190" s="28" t="s">
        <v>10</v>
      </c>
      <c r="B190">
        <v>1214.363846</v>
      </c>
      <c r="C190">
        <v>0</v>
      </c>
      <c r="D190">
        <v>1214.363846</v>
      </c>
    </row>
    <row r="191" spans="1:4">
      <c r="A191" s="16" t="s">
        <v>113</v>
      </c>
      <c r="B191">
        <v>0.20271</v>
      </c>
      <c r="C191">
        <v>0</v>
      </c>
      <c r="D191">
        <v>0.20271</v>
      </c>
    </row>
    <row r="192" spans="1:4">
      <c r="A192" s="28" t="s">
        <v>10</v>
      </c>
      <c r="B192">
        <v>0.20271</v>
      </c>
      <c r="C192">
        <v>0</v>
      </c>
      <c r="D192">
        <v>0.20271</v>
      </c>
    </row>
    <row r="193" spans="1:4">
      <c r="A193" s="16" t="s">
        <v>114</v>
      </c>
      <c r="B193">
        <v>10.726505</v>
      </c>
      <c r="C193">
        <v>0.404695</v>
      </c>
      <c r="D193">
        <v>11.1312</v>
      </c>
    </row>
    <row r="194" spans="1:4">
      <c r="A194" s="28" t="s">
        <v>10</v>
      </c>
      <c r="B194">
        <v>10.726505</v>
      </c>
      <c r="C194">
        <v>0.404695</v>
      </c>
      <c r="D194">
        <v>11.1312</v>
      </c>
    </row>
    <row r="195" spans="1:4">
      <c r="A195" s="16" t="s">
        <v>115</v>
      </c>
      <c r="B195">
        <v>7.55599</v>
      </c>
      <c r="C195">
        <v>0</v>
      </c>
      <c r="D195">
        <v>7.55599</v>
      </c>
    </row>
    <row r="196" spans="1:4">
      <c r="A196" s="28" t="s">
        <v>10</v>
      </c>
      <c r="B196">
        <v>7.55599</v>
      </c>
      <c r="C196">
        <v>0</v>
      </c>
      <c r="D196">
        <v>7.55599</v>
      </c>
    </row>
    <row r="197" spans="1:4">
      <c r="A197" s="16" t="s">
        <v>116</v>
      </c>
      <c r="B197">
        <v>0</v>
      </c>
      <c r="C197">
        <v>3.15432</v>
      </c>
      <c r="D197">
        <v>3.15432</v>
      </c>
    </row>
    <row r="198" spans="1:4">
      <c r="A198" s="28" t="s">
        <v>10</v>
      </c>
      <c r="B198">
        <v>0</v>
      </c>
      <c r="C198">
        <v>3.15432</v>
      </c>
      <c r="D198">
        <v>3.15432</v>
      </c>
    </row>
    <row r="199" spans="1:4">
      <c r="A199" s="16" t="s">
        <v>117</v>
      </c>
      <c r="B199">
        <v>0.505144</v>
      </c>
      <c r="C199">
        <v>0</v>
      </c>
      <c r="D199">
        <v>0.505144</v>
      </c>
    </row>
    <row r="200" spans="1:4">
      <c r="A200" s="28" t="s">
        <v>10</v>
      </c>
      <c r="B200">
        <v>0.505144</v>
      </c>
      <c r="C200">
        <v>0</v>
      </c>
      <c r="D200">
        <v>0.505144</v>
      </c>
    </row>
    <row r="201" spans="1:4">
      <c r="A201" s="16" t="s">
        <v>118</v>
      </c>
      <c r="B201">
        <v>0</v>
      </c>
      <c r="C201">
        <v>7.18776</v>
      </c>
      <c r="D201">
        <v>7.18776</v>
      </c>
    </row>
    <row r="202" spans="1:4">
      <c r="A202" s="28" t="s">
        <v>10</v>
      </c>
      <c r="B202">
        <v>0</v>
      </c>
      <c r="C202">
        <v>7.18776</v>
      </c>
      <c r="D202">
        <v>7.18776</v>
      </c>
    </row>
    <row r="203" spans="1:4">
      <c r="A203" s="16" t="s">
        <v>119</v>
      </c>
      <c r="B203">
        <v>7.585744</v>
      </c>
      <c r="C203">
        <v>0</v>
      </c>
      <c r="D203">
        <v>7.585744</v>
      </c>
    </row>
    <row r="204" spans="1:4">
      <c r="A204" s="28" t="s">
        <v>10</v>
      </c>
      <c r="B204">
        <v>7.585744</v>
      </c>
      <c r="C204">
        <v>0</v>
      </c>
      <c r="D204">
        <v>7.585744</v>
      </c>
    </row>
    <row r="205" spans="1:4">
      <c r="A205" s="16" t="s">
        <v>120</v>
      </c>
      <c r="B205">
        <v>0</v>
      </c>
      <c r="C205">
        <v>3.58848</v>
      </c>
      <c r="D205">
        <v>3.58848</v>
      </c>
    </row>
    <row r="206" spans="1:4">
      <c r="A206" s="28" t="s">
        <v>10</v>
      </c>
      <c r="B206">
        <v>0</v>
      </c>
      <c r="C206">
        <v>3.58848</v>
      </c>
      <c r="D206">
        <v>3.58848</v>
      </c>
    </row>
    <row r="207" spans="1:4">
      <c r="A207" s="16" t="s">
        <v>121</v>
      </c>
      <c r="B207">
        <v>56.57401</v>
      </c>
      <c r="C207">
        <v>7.5</v>
      </c>
      <c r="D207">
        <v>64.07401</v>
      </c>
    </row>
    <row r="208" spans="1:4">
      <c r="A208" s="28" t="s">
        <v>10</v>
      </c>
      <c r="B208">
        <v>56.57401</v>
      </c>
      <c r="C208">
        <v>7.5</v>
      </c>
      <c r="D208">
        <v>64.07401</v>
      </c>
    </row>
    <row r="209" spans="1:4">
      <c r="A209" s="16" t="s">
        <v>122</v>
      </c>
      <c r="B209">
        <v>20.82763</v>
      </c>
      <c r="C209">
        <v>7.5</v>
      </c>
      <c r="D209">
        <v>28.32763</v>
      </c>
    </row>
    <row r="210" spans="1:4">
      <c r="A210" s="28" t="s">
        <v>10</v>
      </c>
      <c r="B210">
        <v>20.82763</v>
      </c>
      <c r="C210">
        <v>7.5</v>
      </c>
      <c r="D210">
        <v>28.32763</v>
      </c>
    </row>
    <row r="211" spans="1:4">
      <c r="A211" s="16" t="s">
        <v>123</v>
      </c>
      <c r="B211">
        <v>27.401345</v>
      </c>
      <c r="C211">
        <v>0</v>
      </c>
      <c r="D211">
        <v>27.401345</v>
      </c>
    </row>
    <row r="212" spans="1:4">
      <c r="A212" s="28" t="s">
        <v>10</v>
      </c>
      <c r="B212">
        <v>27.401345</v>
      </c>
      <c r="C212">
        <v>0</v>
      </c>
      <c r="D212">
        <v>27.401345</v>
      </c>
    </row>
    <row r="213" spans="1:4">
      <c r="A213" s="16" t="s">
        <v>124</v>
      </c>
      <c r="B213">
        <v>0</v>
      </c>
      <c r="C213">
        <v>2.57616</v>
      </c>
      <c r="D213">
        <v>2.57616</v>
      </c>
    </row>
    <row r="214" spans="1:4">
      <c r="A214" s="28" t="s">
        <v>10</v>
      </c>
      <c r="B214">
        <v>0</v>
      </c>
      <c r="C214">
        <v>2.57616</v>
      </c>
      <c r="D214">
        <v>2.57616</v>
      </c>
    </row>
    <row r="215" spans="1:4">
      <c r="A215" s="16" t="s">
        <v>125</v>
      </c>
      <c r="B215">
        <v>0.018174</v>
      </c>
      <c r="C215">
        <v>0</v>
      </c>
      <c r="D215">
        <v>0.018174</v>
      </c>
    </row>
    <row r="216" spans="1:4">
      <c r="A216" s="28" t="s">
        <v>10</v>
      </c>
      <c r="B216">
        <v>0.018174</v>
      </c>
      <c r="C216">
        <v>0</v>
      </c>
      <c r="D216">
        <v>0.018174</v>
      </c>
    </row>
    <row r="217" spans="1:4">
      <c r="A217" s="16" t="s">
        <v>126</v>
      </c>
      <c r="B217">
        <v>164.365895</v>
      </c>
      <c r="C217">
        <v>14.5</v>
      </c>
      <c r="D217">
        <v>178.865895</v>
      </c>
    </row>
    <row r="218" spans="1:4">
      <c r="A218" s="28" t="s">
        <v>10</v>
      </c>
      <c r="B218">
        <v>164.365895</v>
      </c>
      <c r="C218">
        <v>14.5</v>
      </c>
      <c r="D218">
        <v>178.865895</v>
      </c>
    </row>
    <row r="219" spans="1:4">
      <c r="A219" s="16" t="s">
        <v>127</v>
      </c>
      <c r="B219">
        <v>14.19716</v>
      </c>
      <c r="C219">
        <v>0</v>
      </c>
      <c r="D219">
        <v>14.19716</v>
      </c>
    </row>
    <row r="220" spans="1:4">
      <c r="A220" s="28" t="s">
        <v>10</v>
      </c>
      <c r="B220">
        <v>14.19716</v>
      </c>
      <c r="C220">
        <v>0</v>
      </c>
      <c r="D220">
        <v>14.19716</v>
      </c>
    </row>
    <row r="221" spans="1:4">
      <c r="A221" s="16" t="s">
        <v>128</v>
      </c>
      <c r="B221">
        <v>7.321491</v>
      </c>
      <c r="C221">
        <v>1.681389</v>
      </c>
      <c r="D221">
        <v>9.00288</v>
      </c>
    </row>
    <row r="222" spans="1:4">
      <c r="A222" s="28" t="s">
        <v>10</v>
      </c>
      <c r="B222">
        <v>7.321491</v>
      </c>
      <c r="C222">
        <v>1.681389</v>
      </c>
      <c r="D222">
        <v>9.00288</v>
      </c>
    </row>
    <row r="223" spans="1:4">
      <c r="A223" s="16" t="s">
        <v>129</v>
      </c>
      <c r="B223">
        <v>4.386458</v>
      </c>
      <c r="C223">
        <v>3.62736</v>
      </c>
      <c r="D223">
        <v>8.013818</v>
      </c>
    </row>
    <row r="224" spans="1:4">
      <c r="A224" s="28" t="s">
        <v>10</v>
      </c>
      <c r="B224">
        <v>4.386458</v>
      </c>
      <c r="C224">
        <v>3.62736</v>
      </c>
      <c r="D224">
        <v>8.013818</v>
      </c>
    </row>
    <row r="225" spans="1:4">
      <c r="A225" s="16" t="s">
        <v>130</v>
      </c>
      <c r="B225">
        <v>4.747308</v>
      </c>
      <c r="C225">
        <v>13.149782</v>
      </c>
      <c r="D225">
        <v>17.89709</v>
      </c>
    </row>
    <row r="226" spans="1:4">
      <c r="A226" s="28" t="s">
        <v>10</v>
      </c>
      <c r="B226">
        <v>4.747308</v>
      </c>
      <c r="C226">
        <v>13.149782</v>
      </c>
      <c r="D226">
        <v>17.89709</v>
      </c>
    </row>
    <row r="227" spans="1:4">
      <c r="A227" s="16" t="s">
        <v>131</v>
      </c>
      <c r="B227">
        <v>0</v>
      </c>
      <c r="C227">
        <v>2.25576</v>
      </c>
      <c r="D227">
        <v>2.25576</v>
      </c>
    </row>
    <row r="228" spans="1:4">
      <c r="A228" s="28" t="s">
        <v>10</v>
      </c>
      <c r="B228">
        <v>0</v>
      </c>
      <c r="C228">
        <v>2.25576</v>
      </c>
      <c r="D228">
        <v>2.25576</v>
      </c>
    </row>
    <row r="229" spans="1:4">
      <c r="A229" s="16" t="s">
        <v>132</v>
      </c>
      <c r="B229">
        <v>0</v>
      </c>
      <c r="C229">
        <v>0.301783</v>
      </c>
      <c r="D229">
        <v>0.301783</v>
      </c>
    </row>
    <row r="230" spans="1:4">
      <c r="A230" s="28" t="s">
        <v>10</v>
      </c>
      <c r="B230">
        <v>0</v>
      </c>
      <c r="C230">
        <v>0.301783</v>
      </c>
      <c r="D230">
        <v>0.301783</v>
      </c>
    </row>
    <row r="231" spans="1:4">
      <c r="A231" s="16" t="s">
        <v>133</v>
      </c>
      <c r="B231">
        <v>13.575628</v>
      </c>
      <c r="C231">
        <v>8.752398</v>
      </c>
      <c r="D231">
        <v>22.328026</v>
      </c>
    </row>
    <row r="232" spans="1:4">
      <c r="A232" s="28" t="s">
        <v>10</v>
      </c>
      <c r="B232">
        <v>13.575628</v>
      </c>
      <c r="C232">
        <v>8.752398</v>
      </c>
      <c r="D232">
        <v>22.328026</v>
      </c>
    </row>
    <row r="233" spans="1:4">
      <c r="A233" s="16" t="s">
        <v>134</v>
      </c>
      <c r="B233">
        <v>17.66656</v>
      </c>
      <c r="C233">
        <v>0</v>
      </c>
      <c r="D233">
        <v>17.66656</v>
      </c>
    </row>
    <row r="234" spans="1:4">
      <c r="A234" s="28" t="s">
        <v>10</v>
      </c>
      <c r="B234">
        <v>17.66656</v>
      </c>
      <c r="C234">
        <v>0</v>
      </c>
      <c r="D234">
        <v>17.66656</v>
      </c>
    </row>
    <row r="235" spans="1:4">
      <c r="A235" s="16" t="s">
        <v>135</v>
      </c>
      <c r="B235">
        <v>0</v>
      </c>
      <c r="C235">
        <v>0.53568</v>
      </c>
      <c r="D235">
        <v>0.53568</v>
      </c>
    </row>
    <row r="236" spans="1:4">
      <c r="A236" s="28" t="s">
        <v>10</v>
      </c>
      <c r="B236">
        <v>0</v>
      </c>
      <c r="C236">
        <v>0.53568</v>
      </c>
      <c r="D236">
        <v>0.53568</v>
      </c>
    </row>
    <row r="237" spans="1:4">
      <c r="A237" s="16" t="s">
        <v>136</v>
      </c>
      <c r="B237">
        <v>74.370378</v>
      </c>
      <c r="C237">
        <v>7.5</v>
      </c>
      <c r="D237">
        <v>81.870378</v>
      </c>
    </row>
    <row r="238" spans="1:4">
      <c r="A238" s="28" t="s">
        <v>10</v>
      </c>
      <c r="B238">
        <v>74.370378</v>
      </c>
      <c r="C238">
        <v>7.5</v>
      </c>
      <c r="D238">
        <v>81.870378</v>
      </c>
    </row>
    <row r="239" spans="1:4">
      <c r="A239" s="16" t="s">
        <v>137</v>
      </c>
      <c r="B239">
        <v>2.104922</v>
      </c>
      <c r="C239">
        <v>5.341668</v>
      </c>
      <c r="D239">
        <v>7.44659</v>
      </c>
    </row>
    <row r="240" spans="1:4">
      <c r="A240" s="28" t="s">
        <v>10</v>
      </c>
      <c r="B240">
        <v>2.104922</v>
      </c>
      <c r="C240">
        <v>5.341668</v>
      </c>
      <c r="D240">
        <v>7.44659</v>
      </c>
    </row>
    <row r="241" spans="1:4">
      <c r="A241" s="16" t="s">
        <v>138</v>
      </c>
      <c r="B241">
        <v>153.221124</v>
      </c>
      <c r="C241">
        <v>7.5</v>
      </c>
      <c r="D241">
        <v>160.721124</v>
      </c>
    </row>
    <row r="242" spans="1:4">
      <c r="A242" s="28" t="s">
        <v>139</v>
      </c>
      <c r="B242">
        <v>153.221124</v>
      </c>
      <c r="C242">
        <v>7.5</v>
      </c>
      <c r="D242">
        <v>160.721124</v>
      </c>
    </row>
    <row r="243" spans="1:4">
      <c r="A243" s="16" t="s">
        <v>140</v>
      </c>
      <c r="B243">
        <v>29.087834</v>
      </c>
      <c r="C243">
        <v>0.7409</v>
      </c>
      <c r="D243">
        <v>29.828734</v>
      </c>
    </row>
    <row r="244" spans="1:4">
      <c r="A244" s="28" t="s">
        <v>10</v>
      </c>
      <c r="B244">
        <v>29.087834</v>
      </c>
      <c r="C244">
        <v>0.7409</v>
      </c>
      <c r="D244">
        <v>29.828734</v>
      </c>
    </row>
    <row r="245" spans="1:4">
      <c r="A245" s="16" t="s">
        <v>141</v>
      </c>
      <c r="B245">
        <v>2.174356</v>
      </c>
      <c r="C245">
        <v>0</v>
      </c>
      <c r="D245">
        <v>2.174356</v>
      </c>
    </row>
    <row r="246" spans="1:4">
      <c r="A246" s="28" t="s">
        <v>10</v>
      </c>
      <c r="B246">
        <v>2.174356</v>
      </c>
      <c r="C246">
        <v>0</v>
      </c>
      <c r="D246">
        <v>2.174356</v>
      </c>
    </row>
    <row r="247" spans="1:4">
      <c r="A247" s="16" t="s">
        <v>142</v>
      </c>
      <c r="B247">
        <v>12.12408</v>
      </c>
      <c r="C247">
        <v>0</v>
      </c>
      <c r="D247">
        <v>12.12408</v>
      </c>
    </row>
    <row r="248" spans="1:4">
      <c r="A248" s="28" t="s">
        <v>10</v>
      </c>
      <c r="B248">
        <v>12.12408</v>
      </c>
      <c r="C248">
        <v>0</v>
      </c>
      <c r="D248">
        <v>12.12408</v>
      </c>
    </row>
    <row r="249" spans="1:4">
      <c r="A249" s="16" t="s">
        <v>143</v>
      </c>
      <c r="B249">
        <v>26.65753</v>
      </c>
      <c r="C249">
        <v>17.274974</v>
      </c>
      <c r="D249">
        <v>43.932504</v>
      </c>
    </row>
    <row r="250" spans="1:4">
      <c r="A250" s="28" t="s">
        <v>10</v>
      </c>
      <c r="B250">
        <v>26.65753</v>
      </c>
      <c r="C250">
        <v>17.274974</v>
      </c>
      <c r="D250">
        <v>43.932504</v>
      </c>
    </row>
    <row r="251" spans="1:4">
      <c r="A251" s="16" t="s">
        <v>144</v>
      </c>
      <c r="B251">
        <v>10.08035</v>
      </c>
      <c r="C251">
        <v>0</v>
      </c>
      <c r="D251">
        <v>10.08035</v>
      </c>
    </row>
    <row r="252" spans="1:4">
      <c r="A252" s="28" t="s">
        <v>10</v>
      </c>
      <c r="B252">
        <v>10.08035</v>
      </c>
      <c r="C252">
        <v>0</v>
      </c>
      <c r="D252">
        <v>10.08035</v>
      </c>
    </row>
    <row r="253" spans="1:4">
      <c r="A253" s="16" t="s">
        <v>145</v>
      </c>
      <c r="B253">
        <v>0.020856</v>
      </c>
      <c r="C253">
        <v>7.156104</v>
      </c>
      <c r="D253">
        <v>7.17696</v>
      </c>
    </row>
    <row r="254" spans="1:4">
      <c r="A254" s="28" t="s">
        <v>10</v>
      </c>
      <c r="B254">
        <v>0.020856</v>
      </c>
      <c r="C254">
        <v>7.156104</v>
      </c>
      <c r="D254">
        <v>7.17696</v>
      </c>
    </row>
    <row r="255" spans="1:4">
      <c r="A255" s="16" t="s">
        <v>146</v>
      </c>
      <c r="B255">
        <v>0</v>
      </c>
      <c r="C255">
        <v>1.50264</v>
      </c>
      <c r="D255">
        <v>1.50264</v>
      </c>
    </row>
    <row r="256" spans="1:4">
      <c r="A256" s="28" t="s">
        <v>10</v>
      </c>
      <c r="B256">
        <v>0</v>
      </c>
      <c r="C256">
        <v>1.50264</v>
      </c>
      <c r="D256">
        <v>1.50264</v>
      </c>
    </row>
    <row r="257" spans="1:4">
      <c r="A257" s="16" t="s">
        <v>147</v>
      </c>
      <c r="B257">
        <v>3.38325</v>
      </c>
      <c r="C257">
        <v>3.44232</v>
      </c>
      <c r="D257">
        <v>6.82557</v>
      </c>
    </row>
    <row r="258" spans="1:4">
      <c r="A258" s="28" t="s">
        <v>10</v>
      </c>
      <c r="B258">
        <v>3.38325</v>
      </c>
      <c r="C258">
        <v>3.44232</v>
      </c>
      <c r="D258">
        <v>6.82557</v>
      </c>
    </row>
    <row r="259" spans="1:4">
      <c r="A259" s="16" t="s">
        <v>148</v>
      </c>
      <c r="B259">
        <v>0</v>
      </c>
      <c r="C259">
        <v>3.46896</v>
      </c>
      <c r="D259">
        <v>3.46896</v>
      </c>
    </row>
    <row r="260" spans="1:4">
      <c r="A260" s="28" t="s">
        <v>10</v>
      </c>
      <c r="B260">
        <v>0</v>
      </c>
      <c r="C260">
        <v>3.46896</v>
      </c>
      <c r="D260">
        <v>3.46896</v>
      </c>
    </row>
    <row r="261" spans="1:4">
      <c r="A261" s="16" t="s">
        <v>149</v>
      </c>
      <c r="B261">
        <v>0</v>
      </c>
      <c r="C261">
        <v>45.813912</v>
      </c>
      <c r="D261">
        <v>45.813912</v>
      </c>
    </row>
    <row r="262" spans="1:4">
      <c r="A262" s="28" t="s">
        <v>10</v>
      </c>
      <c r="B262">
        <v>0</v>
      </c>
      <c r="C262">
        <v>45.813912</v>
      </c>
      <c r="D262">
        <v>45.813912</v>
      </c>
    </row>
    <row r="263" spans="1:4">
      <c r="A263" s="16" t="s">
        <v>150</v>
      </c>
      <c r="B263">
        <v>0</v>
      </c>
      <c r="C263">
        <v>3.58848</v>
      </c>
      <c r="D263">
        <v>3.58848</v>
      </c>
    </row>
    <row r="264" spans="1:4">
      <c r="A264" s="28" t="s">
        <v>10</v>
      </c>
      <c r="B264">
        <v>0</v>
      </c>
      <c r="C264">
        <v>3.58848</v>
      </c>
      <c r="D264">
        <v>3.58848</v>
      </c>
    </row>
    <row r="265" spans="1:4">
      <c r="A265" s="16" t="s">
        <v>151</v>
      </c>
      <c r="B265">
        <v>0</v>
      </c>
      <c r="C265">
        <v>3.06288</v>
      </c>
      <c r="D265">
        <v>3.06288</v>
      </c>
    </row>
    <row r="266" spans="1:4">
      <c r="A266" s="28" t="s">
        <v>10</v>
      </c>
      <c r="B266">
        <v>0</v>
      </c>
      <c r="C266">
        <v>3.06288</v>
      </c>
      <c r="D266">
        <v>3.06288</v>
      </c>
    </row>
    <row r="267" spans="1:4">
      <c r="A267" s="16" t="s">
        <v>152</v>
      </c>
      <c r="B267">
        <v>8.150806</v>
      </c>
      <c r="C267">
        <v>2.615354</v>
      </c>
      <c r="D267">
        <v>10.76616</v>
      </c>
    </row>
    <row r="268" spans="1:4">
      <c r="A268" s="28" t="s">
        <v>10</v>
      </c>
      <c r="B268">
        <v>8.150806</v>
      </c>
      <c r="C268">
        <v>2.615354</v>
      </c>
      <c r="D268">
        <v>10.76616</v>
      </c>
    </row>
    <row r="269" spans="1:4">
      <c r="A269" s="16" t="s">
        <v>153</v>
      </c>
      <c r="B269">
        <v>1.821114</v>
      </c>
      <c r="C269">
        <v>5.014566</v>
      </c>
      <c r="D269">
        <v>6.83568</v>
      </c>
    </row>
    <row r="270" spans="1:4">
      <c r="A270" s="28" t="s">
        <v>10</v>
      </c>
      <c r="B270">
        <v>1.821114</v>
      </c>
      <c r="C270">
        <v>5.014566</v>
      </c>
      <c r="D270">
        <v>6.83568</v>
      </c>
    </row>
    <row r="271" spans="1:4">
      <c r="A271" s="16" t="s">
        <v>154</v>
      </c>
      <c r="B271">
        <v>10.971878</v>
      </c>
      <c r="C271">
        <v>1.783642</v>
      </c>
      <c r="D271">
        <v>12.75552</v>
      </c>
    </row>
    <row r="272" spans="1:4">
      <c r="A272" s="28" t="s">
        <v>10</v>
      </c>
      <c r="B272">
        <v>10.971878</v>
      </c>
      <c r="C272">
        <v>1.783642</v>
      </c>
      <c r="D272">
        <v>12.75552</v>
      </c>
    </row>
    <row r="273" spans="1:4">
      <c r="A273" s="16" t="s">
        <v>155</v>
      </c>
      <c r="B273">
        <v>103.04675</v>
      </c>
      <c r="C273">
        <v>23.357593</v>
      </c>
      <c r="D273">
        <v>126.404343</v>
      </c>
    </row>
    <row r="274" spans="1:4">
      <c r="A274" s="28" t="s">
        <v>10</v>
      </c>
      <c r="B274">
        <v>103.04675</v>
      </c>
      <c r="C274">
        <v>23.357593</v>
      </c>
      <c r="D274">
        <v>126.404343</v>
      </c>
    </row>
    <row r="275" spans="1:4">
      <c r="A275" s="16" t="s">
        <v>156</v>
      </c>
      <c r="B275">
        <v>67.001729</v>
      </c>
      <c r="C275">
        <v>9.45433</v>
      </c>
      <c r="D275">
        <v>76.456059</v>
      </c>
    </row>
    <row r="276" spans="1:4">
      <c r="A276" s="28" t="s">
        <v>10</v>
      </c>
      <c r="B276">
        <v>67.001729</v>
      </c>
      <c r="C276">
        <v>9.45433</v>
      </c>
      <c r="D276">
        <v>76.456059</v>
      </c>
    </row>
    <row r="277" spans="1:4">
      <c r="A277" s="16" t="s">
        <v>157</v>
      </c>
      <c r="B277">
        <v>11.27472</v>
      </c>
      <c r="C277">
        <v>7.5</v>
      </c>
      <c r="D277">
        <v>18.77472</v>
      </c>
    </row>
    <row r="278" spans="1:4">
      <c r="A278" s="28" t="s">
        <v>10</v>
      </c>
      <c r="B278">
        <v>11.27472</v>
      </c>
      <c r="C278">
        <v>7.5</v>
      </c>
      <c r="D278">
        <v>18.77472</v>
      </c>
    </row>
    <row r="279" spans="1:4">
      <c r="A279" s="16" t="s">
        <v>158</v>
      </c>
      <c r="B279">
        <v>73.262513</v>
      </c>
      <c r="C279">
        <v>0</v>
      </c>
      <c r="D279">
        <v>73.262513</v>
      </c>
    </row>
    <row r="280" spans="1:4">
      <c r="A280" s="28" t="s">
        <v>10</v>
      </c>
      <c r="B280">
        <v>73.262513</v>
      </c>
      <c r="C280">
        <v>0</v>
      </c>
      <c r="D280">
        <v>73.262513</v>
      </c>
    </row>
    <row r="281" spans="1:4">
      <c r="A281" s="16" t="s">
        <v>159</v>
      </c>
      <c r="B281">
        <v>16.492476</v>
      </c>
      <c r="C281">
        <v>0</v>
      </c>
      <c r="D281">
        <v>16.492476</v>
      </c>
    </row>
    <row r="282" spans="1:4">
      <c r="A282" s="28" t="s">
        <v>10</v>
      </c>
      <c r="B282">
        <v>16.492476</v>
      </c>
      <c r="C282">
        <v>0</v>
      </c>
      <c r="D282">
        <v>16.492476</v>
      </c>
    </row>
    <row r="283" spans="1:4">
      <c r="A283" s="16" t="s">
        <v>160</v>
      </c>
      <c r="B283">
        <v>10.614847</v>
      </c>
      <c r="C283">
        <v>1.985753</v>
      </c>
      <c r="D283">
        <v>12.6006</v>
      </c>
    </row>
    <row r="284" spans="1:4">
      <c r="A284" s="28" t="s">
        <v>10</v>
      </c>
      <c r="B284">
        <v>10.614847</v>
      </c>
      <c r="C284">
        <v>1.985753</v>
      </c>
      <c r="D284">
        <v>12.6006</v>
      </c>
    </row>
    <row r="285" spans="1:4">
      <c r="A285" s="16" t="s">
        <v>161</v>
      </c>
      <c r="B285">
        <v>2.836076</v>
      </c>
      <c r="C285">
        <v>2.485632</v>
      </c>
      <c r="D285">
        <v>5.321708</v>
      </c>
    </row>
    <row r="286" spans="1:4">
      <c r="A286" s="28" t="s">
        <v>10</v>
      </c>
      <c r="B286">
        <v>2.836076</v>
      </c>
      <c r="C286">
        <v>2.485632</v>
      </c>
      <c r="D286">
        <v>5.321708</v>
      </c>
    </row>
    <row r="287" spans="1:4">
      <c r="A287" s="16" t="s">
        <v>162</v>
      </c>
      <c r="B287">
        <v>0</v>
      </c>
      <c r="C287">
        <v>1.035573</v>
      </c>
      <c r="D287">
        <v>1.035573</v>
      </c>
    </row>
    <row r="288" spans="1:4">
      <c r="A288" s="28" t="s">
        <v>10</v>
      </c>
      <c r="B288">
        <v>0</v>
      </c>
      <c r="C288">
        <v>1.035573</v>
      </c>
      <c r="D288">
        <v>1.035573</v>
      </c>
    </row>
    <row r="289" spans="1:4">
      <c r="A289" s="16" t="s">
        <v>163</v>
      </c>
      <c r="B289">
        <v>0</v>
      </c>
      <c r="C289">
        <v>0.32328</v>
      </c>
      <c r="D289">
        <v>0.32328</v>
      </c>
    </row>
    <row r="290" spans="1:4">
      <c r="A290" s="28" t="s">
        <v>10</v>
      </c>
      <c r="B290">
        <v>0</v>
      </c>
      <c r="C290">
        <v>0.32328</v>
      </c>
      <c r="D290">
        <v>0.32328</v>
      </c>
    </row>
    <row r="291" spans="1:4">
      <c r="A291" s="16" t="s">
        <v>164</v>
      </c>
      <c r="B291">
        <v>2.115555</v>
      </c>
      <c r="C291">
        <v>5.073645</v>
      </c>
      <c r="D291">
        <v>7.1892</v>
      </c>
    </row>
    <row r="292" spans="1:4">
      <c r="A292" s="28" t="s">
        <v>10</v>
      </c>
      <c r="B292">
        <v>2.115555</v>
      </c>
      <c r="C292">
        <v>5.073645</v>
      </c>
      <c r="D292">
        <v>7.1892</v>
      </c>
    </row>
    <row r="293" spans="1:4">
      <c r="A293" s="16" t="s">
        <v>165</v>
      </c>
      <c r="B293">
        <v>20.84352</v>
      </c>
      <c r="C293">
        <v>7.5</v>
      </c>
      <c r="D293">
        <v>28.34352</v>
      </c>
    </row>
    <row r="294" spans="1:4">
      <c r="A294" s="28" t="s">
        <v>10</v>
      </c>
      <c r="B294">
        <v>20.84352</v>
      </c>
      <c r="C294">
        <v>7.5</v>
      </c>
      <c r="D294">
        <v>28.34352</v>
      </c>
    </row>
    <row r="295" spans="1:4">
      <c r="A295" s="16" t="s">
        <v>166</v>
      </c>
      <c r="B295">
        <v>48.413119</v>
      </c>
      <c r="C295">
        <v>0</v>
      </c>
      <c r="D295">
        <v>48.413119</v>
      </c>
    </row>
    <row r="296" spans="1:4">
      <c r="A296" s="28" t="s">
        <v>10</v>
      </c>
      <c r="B296">
        <v>48.413119</v>
      </c>
      <c r="C296">
        <v>0</v>
      </c>
      <c r="D296">
        <v>48.413119</v>
      </c>
    </row>
    <row r="297" spans="1:4">
      <c r="A297" s="16" t="s">
        <v>167</v>
      </c>
      <c r="B297">
        <v>0.578878</v>
      </c>
      <c r="C297">
        <v>5.880242</v>
      </c>
      <c r="D297">
        <v>6.45912</v>
      </c>
    </row>
    <row r="298" spans="1:4">
      <c r="A298" s="28" t="s">
        <v>10</v>
      </c>
      <c r="B298">
        <v>0.578878</v>
      </c>
      <c r="C298">
        <v>5.880242</v>
      </c>
      <c r="D298">
        <v>6.45912</v>
      </c>
    </row>
    <row r="299" spans="1:4">
      <c r="A299" s="16" t="s">
        <v>168</v>
      </c>
      <c r="B299">
        <v>230.413782</v>
      </c>
      <c r="C299">
        <v>61.630696</v>
      </c>
      <c r="D299">
        <v>292.044478</v>
      </c>
    </row>
    <row r="300" spans="1:4">
      <c r="A300" s="28" t="s">
        <v>169</v>
      </c>
      <c r="B300">
        <v>230.413782</v>
      </c>
      <c r="C300">
        <v>61.630696</v>
      </c>
      <c r="D300">
        <v>292.044478</v>
      </c>
    </row>
    <row r="301" spans="1:4">
      <c r="A301" s="16" t="s">
        <v>170</v>
      </c>
      <c r="B301">
        <v>377.662677</v>
      </c>
      <c r="C301">
        <v>14.435499</v>
      </c>
      <c r="D301">
        <v>392.098176</v>
      </c>
    </row>
    <row r="302" spans="1:4">
      <c r="A302" s="28" t="s">
        <v>171</v>
      </c>
      <c r="B302">
        <v>377.662677</v>
      </c>
      <c r="C302">
        <v>14.435499</v>
      </c>
      <c r="D302">
        <v>392.098176</v>
      </c>
    </row>
    <row r="303" spans="1:4">
      <c r="A303" s="16" t="s">
        <v>172</v>
      </c>
      <c r="B303">
        <v>1.604322</v>
      </c>
      <c r="C303">
        <v>298.245822</v>
      </c>
      <c r="D303">
        <v>299.850144</v>
      </c>
    </row>
    <row r="304" spans="1:4">
      <c r="A304" s="28" t="s">
        <v>173</v>
      </c>
      <c r="B304">
        <v>1.604322</v>
      </c>
      <c r="C304">
        <v>298.245822</v>
      </c>
      <c r="D304">
        <v>299.850144</v>
      </c>
    </row>
    <row r="305" spans="1:4">
      <c r="A305" s="16" t="s">
        <v>174</v>
      </c>
      <c r="B305">
        <v>5.269284</v>
      </c>
      <c r="C305">
        <v>181.639298</v>
      </c>
      <c r="D305">
        <v>186.908582</v>
      </c>
    </row>
    <row r="306" spans="1:4">
      <c r="A306" s="28" t="s">
        <v>10</v>
      </c>
      <c r="B306">
        <v>5.269284</v>
      </c>
      <c r="C306">
        <v>181.639298</v>
      </c>
      <c r="D306">
        <v>186.908582</v>
      </c>
    </row>
    <row r="307" spans="1:4">
      <c r="A307" s="16" t="s">
        <v>175</v>
      </c>
      <c r="B307">
        <v>0.113238</v>
      </c>
      <c r="C307">
        <v>0.001488</v>
      </c>
      <c r="D307">
        <v>0.114726</v>
      </c>
    </row>
    <row r="308" spans="1:4">
      <c r="A308" s="28" t="s">
        <v>10</v>
      </c>
      <c r="B308">
        <v>0.113238</v>
      </c>
      <c r="C308">
        <v>0.001488</v>
      </c>
      <c r="D308">
        <v>0.114726</v>
      </c>
    </row>
    <row r="309" spans="1:4">
      <c r="A309" s="16" t="s">
        <v>176</v>
      </c>
      <c r="B309">
        <v>0</v>
      </c>
      <c r="C309">
        <v>9.48456</v>
      </c>
      <c r="D309">
        <v>9.48456</v>
      </c>
    </row>
    <row r="310" spans="1:4">
      <c r="A310" s="28" t="s">
        <v>10</v>
      </c>
      <c r="B310">
        <v>0</v>
      </c>
      <c r="C310">
        <v>9.48456</v>
      </c>
      <c r="D310">
        <v>9.48456</v>
      </c>
    </row>
    <row r="311" spans="1:4">
      <c r="A311" s="16" t="s">
        <v>177</v>
      </c>
      <c r="B311">
        <v>3.449355</v>
      </c>
      <c r="C311">
        <v>11.329903</v>
      </c>
      <c r="D311">
        <v>14.779258</v>
      </c>
    </row>
    <row r="312" spans="1:4">
      <c r="A312" s="28" t="s">
        <v>10</v>
      </c>
      <c r="B312">
        <v>3.449355</v>
      </c>
      <c r="C312">
        <v>11.329903</v>
      </c>
      <c r="D312">
        <v>14.779258</v>
      </c>
    </row>
    <row r="313" spans="1:4">
      <c r="A313" s="16" t="s">
        <v>178</v>
      </c>
      <c r="B313">
        <v>3.843102</v>
      </c>
      <c r="C313">
        <v>0</v>
      </c>
      <c r="D313">
        <v>3.843102</v>
      </c>
    </row>
    <row r="314" spans="1:4">
      <c r="A314" s="28" t="s">
        <v>10</v>
      </c>
      <c r="B314">
        <v>3.843102</v>
      </c>
      <c r="C314">
        <v>0</v>
      </c>
      <c r="D314">
        <v>3.843102</v>
      </c>
    </row>
    <row r="315" spans="1:4">
      <c r="A315" s="16" t="s">
        <v>179</v>
      </c>
      <c r="B315">
        <v>60.174119</v>
      </c>
      <c r="C315">
        <v>50.631264</v>
      </c>
      <c r="D315">
        <v>110.805383</v>
      </c>
    </row>
    <row r="316" spans="1:4">
      <c r="A316" s="28" t="s">
        <v>10</v>
      </c>
      <c r="B316">
        <v>60.174119</v>
      </c>
      <c r="C316">
        <v>50.631264</v>
      </c>
      <c r="D316">
        <v>110.805383</v>
      </c>
    </row>
    <row r="317" spans="1:4">
      <c r="A317" s="16" t="s">
        <v>180</v>
      </c>
      <c r="B317">
        <v>7.98491</v>
      </c>
      <c r="C317">
        <v>1.423551</v>
      </c>
      <c r="D317">
        <v>9.408461</v>
      </c>
    </row>
    <row r="318" spans="1:4">
      <c r="A318" s="28" t="s">
        <v>10</v>
      </c>
      <c r="B318">
        <v>7.98491</v>
      </c>
      <c r="C318">
        <v>1.423551</v>
      </c>
      <c r="D318">
        <v>9.408461</v>
      </c>
    </row>
    <row r="319" spans="1:4">
      <c r="A319" s="16" t="s">
        <v>181</v>
      </c>
      <c r="B319">
        <v>0</v>
      </c>
      <c r="C319">
        <v>3.82392</v>
      </c>
      <c r="D319">
        <v>3.82392</v>
      </c>
    </row>
    <row r="320" spans="1:4">
      <c r="A320" s="28" t="s">
        <v>10</v>
      </c>
      <c r="B320">
        <v>0</v>
      </c>
      <c r="C320">
        <v>3.82392</v>
      </c>
      <c r="D320">
        <v>3.82392</v>
      </c>
    </row>
    <row r="321" spans="1:4">
      <c r="A321" s="16" t="s">
        <v>182</v>
      </c>
      <c r="B321">
        <v>0.026096</v>
      </c>
      <c r="C321">
        <v>0</v>
      </c>
      <c r="D321">
        <v>0.026096</v>
      </c>
    </row>
    <row r="322" spans="1:4">
      <c r="A322" s="28" t="s">
        <v>10</v>
      </c>
      <c r="B322">
        <v>0.026096</v>
      </c>
      <c r="C322">
        <v>0</v>
      </c>
      <c r="D322">
        <v>0.026096</v>
      </c>
    </row>
    <row r="323" spans="1:4">
      <c r="A323" s="16" t="s">
        <v>183</v>
      </c>
      <c r="B323">
        <v>543.904016</v>
      </c>
      <c r="C323">
        <v>0</v>
      </c>
      <c r="D323">
        <v>543.904016</v>
      </c>
    </row>
    <row r="324" spans="1:4">
      <c r="A324" s="28" t="s">
        <v>10</v>
      </c>
      <c r="B324">
        <v>543.904016</v>
      </c>
      <c r="C324">
        <v>0</v>
      </c>
      <c r="D324">
        <v>543.904016</v>
      </c>
    </row>
    <row r="325" spans="1:4">
      <c r="A325" s="16" t="s">
        <v>184</v>
      </c>
      <c r="B325">
        <v>2.662258</v>
      </c>
      <c r="C325">
        <v>0</v>
      </c>
      <c r="D325">
        <v>2.662258</v>
      </c>
    </row>
    <row r="326" spans="1:4">
      <c r="A326" s="28" t="s">
        <v>10</v>
      </c>
      <c r="B326">
        <v>2.662258</v>
      </c>
      <c r="C326">
        <v>0</v>
      </c>
      <c r="D326">
        <v>2.662258</v>
      </c>
    </row>
    <row r="327" spans="1:4">
      <c r="A327" s="16" t="s">
        <v>185</v>
      </c>
      <c r="B327">
        <v>0.003262</v>
      </c>
      <c r="C327">
        <v>0</v>
      </c>
      <c r="D327">
        <v>0.003262</v>
      </c>
    </row>
    <row r="328" spans="1:4">
      <c r="A328" s="28" t="s">
        <v>10</v>
      </c>
      <c r="B328">
        <v>0.003262</v>
      </c>
      <c r="C328">
        <v>0</v>
      </c>
      <c r="D328">
        <v>0.003262</v>
      </c>
    </row>
    <row r="329" spans="1:4">
      <c r="A329" s="16" t="s">
        <v>186</v>
      </c>
      <c r="B329">
        <v>89.3694</v>
      </c>
      <c r="C329">
        <v>0</v>
      </c>
      <c r="D329">
        <v>89.3694</v>
      </c>
    </row>
    <row r="330" spans="1:4">
      <c r="A330" s="28" t="s">
        <v>10</v>
      </c>
      <c r="B330">
        <v>89.3694</v>
      </c>
      <c r="C330">
        <v>0</v>
      </c>
      <c r="D330">
        <v>89.3694</v>
      </c>
    </row>
    <row r="331" spans="1:4">
      <c r="A331" s="16" t="s">
        <v>187</v>
      </c>
      <c r="B331">
        <v>6030.90909</v>
      </c>
      <c r="C331">
        <v>0</v>
      </c>
      <c r="D331">
        <v>6030.90909</v>
      </c>
    </row>
    <row r="332" spans="1:4">
      <c r="A332" s="28" t="s">
        <v>10</v>
      </c>
      <c r="B332">
        <v>6030.90909</v>
      </c>
      <c r="C332">
        <v>0</v>
      </c>
      <c r="D332">
        <v>6030.90909</v>
      </c>
    </row>
    <row r="333" spans="1:4">
      <c r="A333" s="16" t="s">
        <v>188</v>
      </c>
      <c r="B333">
        <v>0</v>
      </c>
      <c r="C333">
        <v>2.51532</v>
      </c>
      <c r="D333">
        <v>2.51532</v>
      </c>
    </row>
    <row r="334" spans="1:4">
      <c r="A334" s="28" t="s">
        <v>10</v>
      </c>
      <c r="B334">
        <v>0</v>
      </c>
      <c r="C334">
        <v>2.51532</v>
      </c>
      <c r="D334">
        <v>2.51532</v>
      </c>
    </row>
    <row r="335" spans="1:4">
      <c r="A335" s="16" t="s">
        <v>189</v>
      </c>
      <c r="B335">
        <v>0.1944</v>
      </c>
      <c r="C335">
        <v>0</v>
      </c>
      <c r="D335">
        <v>0.1944</v>
      </c>
    </row>
    <row r="336" spans="1:4">
      <c r="A336" s="28" t="s">
        <v>10</v>
      </c>
      <c r="B336">
        <v>0.1944</v>
      </c>
      <c r="C336">
        <v>0</v>
      </c>
      <c r="D336">
        <v>0.1944</v>
      </c>
    </row>
    <row r="337" spans="1:4">
      <c r="A337" s="16" t="s">
        <v>190</v>
      </c>
      <c r="B337">
        <v>0.17708</v>
      </c>
      <c r="C337">
        <v>0</v>
      </c>
      <c r="D337">
        <v>0.17708</v>
      </c>
    </row>
    <row r="338" spans="1:4">
      <c r="A338" s="28" t="s">
        <v>10</v>
      </c>
      <c r="B338">
        <v>0.17708</v>
      </c>
      <c r="C338">
        <v>0</v>
      </c>
      <c r="D338">
        <v>0.17708</v>
      </c>
    </row>
    <row r="339" spans="1:4">
      <c r="A339" s="16" t="s">
        <v>191</v>
      </c>
      <c r="B339">
        <v>10.547838</v>
      </c>
      <c r="C339">
        <v>0.090288</v>
      </c>
      <c r="D339">
        <v>10.638126</v>
      </c>
    </row>
    <row r="340" spans="1:4">
      <c r="A340" s="28" t="s">
        <v>10</v>
      </c>
      <c r="B340">
        <v>10.547838</v>
      </c>
      <c r="C340">
        <v>0.090288</v>
      </c>
      <c r="D340">
        <v>10.638126</v>
      </c>
    </row>
    <row r="341" spans="1:4">
      <c r="A341" s="16" t="s">
        <v>192</v>
      </c>
      <c r="B341">
        <v>7245.608456</v>
      </c>
      <c r="C341">
        <v>0</v>
      </c>
      <c r="D341">
        <v>7245.608456</v>
      </c>
    </row>
    <row r="342" spans="1:4">
      <c r="A342" s="28" t="s">
        <v>10</v>
      </c>
      <c r="B342">
        <v>7245.608456</v>
      </c>
      <c r="C342">
        <v>0</v>
      </c>
      <c r="D342">
        <v>7245.608456</v>
      </c>
    </row>
    <row r="343" spans="1:4">
      <c r="A343" s="16" t="s">
        <v>193</v>
      </c>
      <c r="B343">
        <v>674.308514</v>
      </c>
      <c r="C343">
        <v>2.285805</v>
      </c>
      <c r="D343">
        <v>676.594319</v>
      </c>
    </row>
    <row r="344" spans="1:4">
      <c r="A344" s="28" t="s">
        <v>10</v>
      </c>
      <c r="B344">
        <v>674.308514</v>
      </c>
      <c r="C344">
        <v>2.285805</v>
      </c>
      <c r="D344">
        <v>676.594319</v>
      </c>
    </row>
    <row r="345" spans="1:4">
      <c r="A345" s="16" t="s">
        <v>194</v>
      </c>
      <c r="B345">
        <v>28.844618</v>
      </c>
      <c r="C345">
        <v>0.023715</v>
      </c>
      <c r="D345">
        <v>28.868333</v>
      </c>
    </row>
    <row r="346" spans="1:4">
      <c r="A346" s="28" t="s">
        <v>10</v>
      </c>
      <c r="B346">
        <v>28.844618</v>
      </c>
      <c r="C346">
        <v>0.023715</v>
      </c>
      <c r="D346">
        <v>28.868333</v>
      </c>
    </row>
    <row r="347" spans="1:4">
      <c r="A347" s="16" t="s">
        <v>195</v>
      </c>
      <c r="B347">
        <v>429.604619</v>
      </c>
      <c r="C347">
        <v>13.668425</v>
      </c>
      <c r="D347">
        <v>443.273044</v>
      </c>
    </row>
    <row r="348" spans="1:4">
      <c r="A348" s="28" t="s">
        <v>10</v>
      </c>
      <c r="B348">
        <v>429.604619</v>
      </c>
      <c r="C348">
        <v>13.668425</v>
      </c>
      <c r="D348">
        <v>443.273044</v>
      </c>
    </row>
    <row r="349" spans="1:4">
      <c r="A349" s="16" t="s">
        <v>196</v>
      </c>
      <c r="B349">
        <v>0.000224</v>
      </c>
      <c r="C349">
        <v>0.1944</v>
      </c>
      <c r="D349">
        <v>0.194624</v>
      </c>
    </row>
    <row r="350" spans="1:4">
      <c r="A350" s="28" t="s">
        <v>10</v>
      </c>
      <c r="B350">
        <v>0.000224</v>
      </c>
      <c r="C350">
        <v>0.1944</v>
      </c>
      <c r="D350">
        <v>0.194624</v>
      </c>
    </row>
    <row r="351" spans="1:4">
      <c r="A351" s="16" t="s">
        <v>197</v>
      </c>
      <c r="B351">
        <v>0</v>
      </c>
      <c r="C351">
        <v>5.486002</v>
      </c>
      <c r="D351">
        <v>5.486002</v>
      </c>
    </row>
    <row r="352" spans="1:4">
      <c r="A352" s="28" t="s">
        <v>10</v>
      </c>
      <c r="B352">
        <v>0</v>
      </c>
      <c r="C352">
        <v>5.486002</v>
      </c>
      <c r="D352">
        <v>5.486002</v>
      </c>
    </row>
    <row r="353" spans="1:4">
      <c r="A353" s="16" t="s">
        <v>198</v>
      </c>
      <c r="B353">
        <v>46.141392</v>
      </c>
      <c r="C353">
        <v>6.505019</v>
      </c>
      <c r="D353">
        <v>52.646411</v>
      </c>
    </row>
    <row r="354" spans="1:4">
      <c r="A354" s="28" t="s">
        <v>10</v>
      </c>
      <c r="B354">
        <v>46.141392</v>
      </c>
      <c r="C354">
        <v>6.505019</v>
      </c>
      <c r="D354">
        <v>52.646411</v>
      </c>
    </row>
    <row r="355" spans="1:4">
      <c r="A355" s="16" t="s">
        <v>199</v>
      </c>
      <c r="B355">
        <v>0</v>
      </c>
      <c r="C355">
        <v>849.476055</v>
      </c>
      <c r="D355">
        <v>849.476055</v>
      </c>
    </row>
    <row r="356" spans="1:4">
      <c r="A356" s="28" t="s">
        <v>10</v>
      </c>
      <c r="B356">
        <v>0</v>
      </c>
      <c r="C356">
        <v>849.476055</v>
      </c>
      <c r="D356">
        <v>849.476055</v>
      </c>
    </row>
    <row r="357" spans="1:4">
      <c r="A357" s="16" t="s">
        <v>200</v>
      </c>
      <c r="B357">
        <v>39.032528</v>
      </c>
      <c r="C357">
        <v>3.527598</v>
      </c>
      <c r="D357">
        <v>42.560126</v>
      </c>
    </row>
    <row r="358" spans="1:4">
      <c r="A358" s="28" t="s">
        <v>10</v>
      </c>
      <c r="B358">
        <v>39.032528</v>
      </c>
      <c r="C358">
        <v>3.527598</v>
      </c>
      <c r="D358">
        <v>42.560126</v>
      </c>
    </row>
    <row r="359" spans="1:4">
      <c r="A359" s="16" t="s">
        <v>201</v>
      </c>
      <c r="B359">
        <v>0</v>
      </c>
      <c r="C359">
        <v>0.30384</v>
      </c>
      <c r="D359">
        <v>0.30384</v>
      </c>
    </row>
    <row r="360" spans="1:4">
      <c r="A360" s="28" t="s">
        <v>10</v>
      </c>
      <c r="B360">
        <v>0</v>
      </c>
      <c r="C360">
        <v>0.30384</v>
      </c>
      <c r="D360">
        <v>0.30384</v>
      </c>
    </row>
    <row r="361" spans="1:4">
      <c r="A361" s="16" t="s">
        <v>202</v>
      </c>
      <c r="B361">
        <v>0</v>
      </c>
      <c r="C361">
        <v>0.98201</v>
      </c>
      <c r="D361">
        <v>0.98201</v>
      </c>
    </row>
    <row r="362" spans="1:4">
      <c r="A362" s="28" t="s">
        <v>10</v>
      </c>
      <c r="B362">
        <v>0</v>
      </c>
      <c r="C362">
        <v>0.98201</v>
      </c>
      <c r="D362">
        <v>0.98201</v>
      </c>
    </row>
    <row r="363" spans="1:4">
      <c r="A363" s="16" t="s">
        <v>203</v>
      </c>
      <c r="B363">
        <v>1.08578</v>
      </c>
      <c r="C363">
        <v>0</v>
      </c>
      <c r="D363">
        <v>1.08578</v>
      </c>
    </row>
    <row r="364" spans="1:4">
      <c r="A364" s="28" t="s">
        <v>10</v>
      </c>
      <c r="B364">
        <v>1.08578</v>
      </c>
      <c r="C364">
        <v>0</v>
      </c>
      <c r="D364">
        <v>1.08578</v>
      </c>
    </row>
    <row r="365" spans="1:4">
      <c r="A365" s="16" t="s">
        <v>204</v>
      </c>
      <c r="B365">
        <v>0</v>
      </c>
      <c r="C365">
        <v>0.16309</v>
      </c>
      <c r="D365">
        <v>0.16309</v>
      </c>
    </row>
    <row r="366" spans="1:4">
      <c r="A366" s="28" t="s">
        <v>10</v>
      </c>
      <c r="B366">
        <v>0</v>
      </c>
      <c r="C366">
        <v>0.16309</v>
      </c>
      <c r="D366">
        <v>0.16309</v>
      </c>
    </row>
    <row r="367" spans="1:4">
      <c r="A367" s="16" t="s">
        <v>205</v>
      </c>
      <c r="B367">
        <v>0</v>
      </c>
      <c r="C367">
        <v>0.605729</v>
      </c>
      <c r="D367">
        <v>0.605729</v>
      </c>
    </row>
    <row r="368" spans="1:4">
      <c r="A368" s="28" t="s">
        <v>10</v>
      </c>
      <c r="B368">
        <v>0</v>
      </c>
      <c r="C368">
        <v>0.605729</v>
      </c>
      <c r="D368">
        <v>0.605729</v>
      </c>
    </row>
    <row r="369" spans="1:4">
      <c r="A369" s="16" t="s">
        <v>206</v>
      </c>
      <c r="B369">
        <v>20.006312</v>
      </c>
      <c r="C369">
        <v>0.332813</v>
      </c>
      <c r="D369">
        <v>20.339125</v>
      </c>
    </row>
    <row r="370" spans="1:4">
      <c r="A370" s="28" t="s">
        <v>10</v>
      </c>
      <c r="B370">
        <v>20.006312</v>
      </c>
      <c r="C370">
        <v>0.332813</v>
      </c>
      <c r="D370">
        <v>20.339125</v>
      </c>
    </row>
    <row r="371" spans="1:4">
      <c r="A371" s="16" t="s">
        <v>207</v>
      </c>
      <c r="B371">
        <v>0.064774</v>
      </c>
      <c r="C371">
        <v>0</v>
      </c>
      <c r="D371">
        <v>0.064774</v>
      </c>
    </row>
    <row r="372" spans="1:4">
      <c r="A372" s="28" t="s">
        <v>10</v>
      </c>
      <c r="B372">
        <v>0.064774</v>
      </c>
      <c r="C372">
        <v>0</v>
      </c>
      <c r="D372">
        <v>0.064774</v>
      </c>
    </row>
    <row r="373" spans="1:4">
      <c r="A373" s="16" t="s">
        <v>208</v>
      </c>
      <c r="B373">
        <v>0</v>
      </c>
      <c r="C373">
        <v>1.11888</v>
      </c>
      <c r="D373">
        <v>1.11888</v>
      </c>
    </row>
    <row r="374" spans="1:4">
      <c r="A374" s="28" t="s">
        <v>10</v>
      </c>
      <c r="B374">
        <v>0</v>
      </c>
      <c r="C374">
        <v>1.11888</v>
      </c>
      <c r="D374">
        <v>1.11888</v>
      </c>
    </row>
    <row r="375" spans="1:4">
      <c r="A375" s="16" t="s">
        <v>209</v>
      </c>
      <c r="B375">
        <v>0</v>
      </c>
      <c r="C375">
        <v>22.252032</v>
      </c>
      <c r="D375">
        <v>22.252032</v>
      </c>
    </row>
    <row r="376" spans="1:4">
      <c r="A376" s="28" t="s">
        <v>10</v>
      </c>
      <c r="B376">
        <v>0</v>
      </c>
      <c r="C376">
        <v>22.252032</v>
      </c>
      <c r="D376">
        <v>22.252032</v>
      </c>
    </row>
    <row r="377" spans="1:4">
      <c r="A377" s="16" t="s">
        <v>210</v>
      </c>
      <c r="B377">
        <v>8.300392</v>
      </c>
      <c r="C377">
        <v>1.474228</v>
      </c>
      <c r="D377">
        <v>9.77462</v>
      </c>
    </row>
    <row r="378" spans="1:4">
      <c r="A378" s="28" t="s">
        <v>10</v>
      </c>
      <c r="B378">
        <v>8.300392</v>
      </c>
      <c r="C378">
        <v>1.474228</v>
      </c>
      <c r="D378">
        <v>9.77462</v>
      </c>
    </row>
    <row r="379" spans="1:4">
      <c r="A379" s="16" t="s">
        <v>211</v>
      </c>
      <c r="B379">
        <v>233.243852</v>
      </c>
      <c r="C379">
        <v>17.670089</v>
      </c>
      <c r="D379">
        <v>250.913941</v>
      </c>
    </row>
    <row r="380" spans="1:4">
      <c r="A380" s="28" t="s">
        <v>10</v>
      </c>
      <c r="B380">
        <v>233.243852</v>
      </c>
      <c r="C380">
        <v>17.670089</v>
      </c>
      <c r="D380">
        <v>250.913941</v>
      </c>
    </row>
    <row r="381" spans="1:4">
      <c r="A381" s="16" t="s">
        <v>212</v>
      </c>
      <c r="B381">
        <v>244.192322</v>
      </c>
      <c r="C381">
        <v>0.10584</v>
      </c>
      <c r="D381">
        <v>244.298162</v>
      </c>
    </row>
    <row r="382" spans="1:4">
      <c r="A382" s="28" t="s">
        <v>10</v>
      </c>
      <c r="B382">
        <v>244.192322</v>
      </c>
      <c r="C382">
        <v>0.10584</v>
      </c>
      <c r="D382">
        <v>244.298162</v>
      </c>
    </row>
    <row r="383" spans="1:4">
      <c r="A383" s="16" t="s">
        <v>213</v>
      </c>
      <c r="B383">
        <v>0.0147</v>
      </c>
      <c r="C383">
        <v>0</v>
      </c>
      <c r="D383">
        <v>0.0147</v>
      </c>
    </row>
    <row r="384" spans="1:4">
      <c r="A384" s="28" t="s">
        <v>10</v>
      </c>
      <c r="B384">
        <v>0.0147</v>
      </c>
      <c r="C384">
        <v>0</v>
      </c>
      <c r="D384">
        <v>0.0147</v>
      </c>
    </row>
    <row r="385" spans="1:4">
      <c r="A385" s="16" t="s">
        <v>214</v>
      </c>
      <c r="B385">
        <v>0.014446</v>
      </c>
      <c r="C385">
        <v>0</v>
      </c>
      <c r="D385">
        <v>0.014446</v>
      </c>
    </row>
    <row r="386" spans="1:4">
      <c r="A386" s="28" t="s">
        <v>10</v>
      </c>
      <c r="B386">
        <v>0.014446</v>
      </c>
      <c r="C386">
        <v>0</v>
      </c>
      <c r="D386">
        <v>0.014446</v>
      </c>
    </row>
    <row r="387" spans="1:4">
      <c r="A387" s="16" t="s">
        <v>215</v>
      </c>
      <c r="B387">
        <v>0.176148</v>
      </c>
      <c r="C387">
        <v>0</v>
      </c>
      <c r="D387">
        <v>0.176148</v>
      </c>
    </row>
    <row r="388" spans="1:4">
      <c r="A388" s="28" t="s">
        <v>10</v>
      </c>
      <c r="B388">
        <v>0.176148</v>
      </c>
      <c r="C388">
        <v>0</v>
      </c>
      <c r="D388">
        <v>0.176148</v>
      </c>
    </row>
    <row r="389" spans="1:4">
      <c r="A389" s="16" t="s">
        <v>216</v>
      </c>
      <c r="B389">
        <v>5.293799</v>
      </c>
      <c r="C389">
        <v>0</v>
      </c>
      <c r="D389">
        <v>5.293799</v>
      </c>
    </row>
    <row r="390" spans="1:4">
      <c r="A390" s="28" t="s">
        <v>10</v>
      </c>
      <c r="B390">
        <v>5.293799</v>
      </c>
      <c r="C390">
        <v>0</v>
      </c>
      <c r="D390">
        <v>5.293799</v>
      </c>
    </row>
    <row r="391" spans="1:4">
      <c r="A391" s="16" t="s">
        <v>217</v>
      </c>
      <c r="B391">
        <v>0.281464</v>
      </c>
      <c r="C391">
        <v>0</v>
      </c>
      <c r="D391">
        <v>0.281464</v>
      </c>
    </row>
    <row r="392" spans="1:4">
      <c r="A392" s="28" t="s">
        <v>10</v>
      </c>
      <c r="B392">
        <v>0.281464</v>
      </c>
      <c r="C392">
        <v>0</v>
      </c>
      <c r="D392">
        <v>0.281464</v>
      </c>
    </row>
    <row r="393" spans="1:4">
      <c r="A393" s="16" t="s">
        <v>218</v>
      </c>
      <c r="B393">
        <v>0.263756</v>
      </c>
      <c r="C393">
        <v>0</v>
      </c>
      <c r="D393">
        <v>0.263756</v>
      </c>
    </row>
    <row r="394" spans="1:4">
      <c r="A394" s="28" t="s">
        <v>10</v>
      </c>
      <c r="B394">
        <v>0.263756</v>
      </c>
      <c r="C394">
        <v>0</v>
      </c>
      <c r="D394">
        <v>0.263756</v>
      </c>
    </row>
    <row r="395" spans="1:4">
      <c r="A395" s="16" t="s">
        <v>219</v>
      </c>
      <c r="B395">
        <v>0.154246</v>
      </c>
      <c r="C395">
        <v>0</v>
      </c>
      <c r="D395">
        <v>0.154246</v>
      </c>
    </row>
    <row r="396" spans="1:4">
      <c r="A396" s="28" t="s">
        <v>10</v>
      </c>
      <c r="B396">
        <v>0.154246</v>
      </c>
      <c r="C396">
        <v>0</v>
      </c>
      <c r="D396">
        <v>0.154246</v>
      </c>
    </row>
    <row r="397" spans="1:4">
      <c r="A397" s="16" t="s">
        <v>220</v>
      </c>
      <c r="B397">
        <v>10.066532</v>
      </c>
      <c r="C397">
        <v>0</v>
      </c>
      <c r="D397">
        <v>10.066532</v>
      </c>
    </row>
    <row r="398" spans="1:4">
      <c r="A398" s="28" t="s">
        <v>10</v>
      </c>
      <c r="B398">
        <v>10.066532</v>
      </c>
      <c r="C398">
        <v>0</v>
      </c>
      <c r="D398">
        <v>10.066532</v>
      </c>
    </row>
    <row r="399" spans="1:4">
      <c r="A399" s="16" t="s">
        <v>221</v>
      </c>
      <c r="B399">
        <v>6.368997</v>
      </c>
      <c r="C399">
        <v>8.07978</v>
      </c>
      <c r="D399">
        <v>14.448777</v>
      </c>
    </row>
    <row r="400" spans="1:4">
      <c r="A400" s="28" t="s">
        <v>10</v>
      </c>
      <c r="B400">
        <v>6.368997</v>
      </c>
      <c r="C400">
        <v>8.07978</v>
      </c>
      <c r="D400">
        <v>14.448777</v>
      </c>
    </row>
    <row r="401" spans="1:4">
      <c r="A401" s="16" t="s">
        <v>222</v>
      </c>
      <c r="B401">
        <v>8.382518</v>
      </c>
      <c r="C401">
        <v>0</v>
      </c>
      <c r="D401">
        <v>8.382518</v>
      </c>
    </row>
    <row r="402" spans="1:4">
      <c r="A402" s="28" t="s">
        <v>10</v>
      </c>
      <c r="B402">
        <v>8.382518</v>
      </c>
      <c r="C402">
        <v>0</v>
      </c>
      <c r="D402">
        <v>8.382518</v>
      </c>
    </row>
    <row r="403" spans="1:4">
      <c r="A403" s="16" t="s">
        <v>223</v>
      </c>
      <c r="B403">
        <v>0</v>
      </c>
      <c r="C403">
        <v>272.234711</v>
      </c>
      <c r="D403">
        <v>272.234711</v>
      </c>
    </row>
    <row r="404" spans="1:4">
      <c r="A404" s="28" t="s">
        <v>10</v>
      </c>
      <c r="B404">
        <v>0</v>
      </c>
      <c r="C404">
        <v>272.234711</v>
      </c>
      <c r="D404">
        <v>272.234711</v>
      </c>
    </row>
    <row r="405" spans="1:4">
      <c r="A405" s="16" t="s">
        <v>224</v>
      </c>
      <c r="B405">
        <v>0.003728</v>
      </c>
      <c r="C405">
        <v>0.155745</v>
      </c>
      <c r="D405">
        <v>0.159473</v>
      </c>
    </row>
    <row r="406" spans="1:4">
      <c r="A406" s="28" t="s">
        <v>10</v>
      </c>
      <c r="B406">
        <v>0.003728</v>
      </c>
      <c r="C406">
        <v>0.155745</v>
      </c>
      <c r="D406">
        <v>0.159473</v>
      </c>
    </row>
    <row r="407" spans="1:4">
      <c r="A407" s="16" t="s">
        <v>225</v>
      </c>
      <c r="B407">
        <v>0</v>
      </c>
      <c r="C407">
        <v>1.684222</v>
      </c>
      <c r="D407">
        <v>1.684222</v>
      </c>
    </row>
    <row r="408" spans="1:4">
      <c r="A408" s="28" t="s">
        <v>10</v>
      </c>
      <c r="B408">
        <v>0</v>
      </c>
      <c r="C408">
        <v>1.684222</v>
      </c>
      <c r="D408">
        <v>1.684222</v>
      </c>
    </row>
    <row r="409" spans="1:4">
      <c r="A409" s="16" t="s">
        <v>226</v>
      </c>
      <c r="B409">
        <v>1.882174</v>
      </c>
      <c r="C409">
        <v>2.57257</v>
      </c>
      <c r="D409">
        <v>4.454744</v>
      </c>
    </row>
    <row r="410" spans="1:4">
      <c r="A410" s="28" t="s">
        <v>10</v>
      </c>
      <c r="B410">
        <v>1.882174</v>
      </c>
      <c r="C410">
        <v>2.57257</v>
      </c>
      <c r="D410">
        <v>4.454744</v>
      </c>
    </row>
    <row r="411" spans="1:4">
      <c r="A411" s="16" t="s">
        <v>227</v>
      </c>
      <c r="B411">
        <v>1.253948</v>
      </c>
      <c r="C411">
        <v>73.68144</v>
      </c>
      <c r="D411">
        <v>74.935388</v>
      </c>
    </row>
    <row r="412" spans="1:4">
      <c r="A412" s="28" t="s">
        <v>228</v>
      </c>
      <c r="B412">
        <v>1.253948</v>
      </c>
      <c r="C412">
        <v>73.68144</v>
      </c>
      <c r="D412">
        <v>74.935388</v>
      </c>
    </row>
    <row r="413" spans="1:4">
      <c r="A413" s="16" t="s">
        <v>229</v>
      </c>
      <c r="B413">
        <v>2.996846</v>
      </c>
      <c r="C413">
        <v>3.468094</v>
      </c>
      <c r="D413">
        <v>6.46494</v>
      </c>
    </row>
    <row r="414" spans="1:4">
      <c r="A414" s="28" t="s">
        <v>10</v>
      </c>
      <c r="B414">
        <v>2.996846</v>
      </c>
      <c r="C414">
        <v>3.468094</v>
      </c>
      <c r="D414">
        <v>6.46494</v>
      </c>
    </row>
    <row r="415" spans="1:4">
      <c r="A415" s="16" t="s">
        <v>230</v>
      </c>
      <c r="B415">
        <v>38.588064</v>
      </c>
      <c r="C415">
        <v>7.5</v>
      </c>
      <c r="D415">
        <v>46.088064</v>
      </c>
    </row>
    <row r="416" spans="1:4">
      <c r="A416" s="28" t="s">
        <v>10</v>
      </c>
      <c r="B416">
        <v>38.588064</v>
      </c>
      <c r="C416">
        <v>7.5</v>
      </c>
      <c r="D416">
        <v>46.088064</v>
      </c>
    </row>
    <row r="417" spans="1:4">
      <c r="A417" s="16" t="s">
        <v>231</v>
      </c>
      <c r="B417">
        <v>16.96706</v>
      </c>
      <c r="C417">
        <v>0</v>
      </c>
      <c r="D417">
        <v>16.96706</v>
      </c>
    </row>
    <row r="418" spans="1:4">
      <c r="A418" s="28" t="s">
        <v>10</v>
      </c>
      <c r="B418">
        <v>16.96706</v>
      </c>
      <c r="C418">
        <v>0</v>
      </c>
      <c r="D418">
        <v>16.96706</v>
      </c>
    </row>
    <row r="419" spans="1:4">
      <c r="A419" s="16" t="s">
        <v>232</v>
      </c>
      <c r="B419">
        <v>0.142596</v>
      </c>
      <c r="C419">
        <v>0</v>
      </c>
      <c r="D419">
        <v>0.142596</v>
      </c>
    </row>
    <row r="420" spans="1:4">
      <c r="A420" s="28" t="s">
        <v>10</v>
      </c>
      <c r="B420">
        <v>0.142596</v>
      </c>
      <c r="C420">
        <v>0</v>
      </c>
      <c r="D420">
        <v>0.142596</v>
      </c>
    </row>
    <row r="421" spans="1:4">
      <c r="A421" s="16" t="s">
        <v>233</v>
      </c>
      <c r="B421">
        <v>0.06291</v>
      </c>
      <c r="C421">
        <v>0</v>
      </c>
      <c r="D421">
        <v>0.06291</v>
      </c>
    </row>
    <row r="422" spans="1:4">
      <c r="A422" s="28" t="s">
        <v>10</v>
      </c>
      <c r="B422">
        <v>0.06291</v>
      </c>
      <c r="C422">
        <v>0</v>
      </c>
      <c r="D422">
        <v>0.06291</v>
      </c>
    </row>
    <row r="423" spans="1:4">
      <c r="A423" s="16" t="s">
        <v>234</v>
      </c>
      <c r="B423">
        <v>206.320259</v>
      </c>
      <c r="C423">
        <v>14.5</v>
      </c>
      <c r="D423">
        <v>220.820259</v>
      </c>
    </row>
    <row r="424" spans="1:4">
      <c r="A424" s="28" t="s">
        <v>10</v>
      </c>
      <c r="B424">
        <v>206.320259</v>
      </c>
      <c r="C424">
        <v>14.5</v>
      </c>
      <c r="D424">
        <v>220.820259</v>
      </c>
    </row>
    <row r="425" spans="1:4">
      <c r="A425" s="16" t="s">
        <v>235</v>
      </c>
      <c r="B425">
        <v>13.890994</v>
      </c>
      <c r="C425">
        <v>0</v>
      </c>
      <c r="D425">
        <v>13.890994</v>
      </c>
    </row>
    <row r="426" spans="1:4">
      <c r="A426" s="28" t="s">
        <v>10</v>
      </c>
      <c r="B426">
        <v>13.890994</v>
      </c>
      <c r="C426">
        <v>0</v>
      </c>
      <c r="D426">
        <v>13.890994</v>
      </c>
    </row>
    <row r="427" spans="1:4">
      <c r="A427" s="16" t="s">
        <v>236</v>
      </c>
      <c r="B427">
        <v>0.058716</v>
      </c>
      <c r="C427">
        <v>0</v>
      </c>
      <c r="D427">
        <v>0.058716</v>
      </c>
    </row>
    <row r="428" spans="1:4">
      <c r="A428" s="28" t="s">
        <v>10</v>
      </c>
      <c r="B428">
        <v>0.058716</v>
      </c>
      <c r="C428">
        <v>0</v>
      </c>
      <c r="D428">
        <v>0.058716</v>
      </c>
    </row>
    <row r="429" spans="1:4">
      <c r="A429" s="16" t="s">
        <v>237</v>
      </c>
      <c r="B429">
        <v>0.334588</v>
      </c>
      <c r="C429">
        <v>2.935576</v>
      </c>
      <c r="D429">
        <v>3.270164</v>
      </c>
    </row>
    <row r="430" spans="1:4">
      <c r="A430" s="28" t="s">
        <v>10</v>
      </c>
      <c r="B430">
        <v>0.334588</v>
      </c>
      <c r="C430">
        <v>2.935576</v>
      </c>
      <c r="D430">
        <v>3.270164</v>
      </c>
    </row>
    <row r="431" spans="1:4">
      <c r="A431" s="16" t="s">
        <v>238</v>
      </c>
      <c r="B431">
        <v>0.059182</v>
      </c>
      <c r="C431">
        <v>0</v>
      </c>
      <c r="D431">
        <v>0.059182</v>
      </c>
    </row>
    <row r="432" spans="1:4">
      <c r="A432" s="28" t="s">
        <v>10</v>
      </c>
      <c r="B432">
        <v>0.059182</v>
      </c>
      <c r="C432">
        <v>0</v>
      </c>
      <c r="D432">
        <v>0.059182</v>
      </c>
    </row>
    <row r="433" spans="1:4">
      <c r="A433" s="16" t="s">
        <v>239</v>
      </c>
      <c r="B433">
        <v>504.422823</v>
      </c>
      <c r="C433">
        <v>4.842588</v>
      </c>
      <c r="D433">
        <v>509.265411</v>
      </c>
    </row>
    <row r="434" spans="1:4">
      <c r="A434" s="28" t="s">
        <v>10</v>
      </c>
      <c r="B434">
        <v>504.422823</v>
      </c>
      <c r="C434">
        <v>4.842588</v>
      </c>
      <c r="D434">
        <v>509.265411</v>
      </c>
    </row>
    <row r="435" spans="1:4">
      <c r="A435" s="16" t="s">
        <v>240</v>
      </c>
      <c r="B435">
        <v>37.479977</v>
      </c>
      <c r="C435">
        <v>7.5</v>
      </c>
      <c r="D435">
        <v>44.979977</v>
      </c>
    </row>
    <row r="436" spans="1:4">
      <c r="A436" s="28" t="s">
        <v>10</v>
      </c>
      <c r="B436">
        <v>37.479977</v>
      </c>
      <c r="C436">
        <v>7.5</v>
      </c>
      <c r="D436">
        <v>44.979977</v>
      </c>
    </row>
    <row r="437" spans="1:4">
      <c r="A437" s="16" t="s">
        <v>241</v>
      </c>
      <c r="B437">
        <v>23.685512</v>
      </c>
      <c r="C437">
        <v>4.477982</v>
      </c>
      <c r="D437">
        <v>28.163494</v>
      </c>
    </row>
    <row r="438" spans="1:4">
      <c r="A438" s="28" t="s">
        <v>10</v>
      </c>
      <c r="B438">
        <v>23.685512</v>
      </c>
      <c r="C438">
        <v>4.477982</v>
      </c>
      <c r="D438">
        <v>28.163494</v>
      </c>
    </row>
    <row r="439" spans="1:4">
      <c r="A439" s="16" t="s">
        <v>242</v>
      </c>
      <c r="B439">
        <v>6.66613</v>
      </c>
      <c r="C439">
        <v>0.287334</v>
      </c>
      <c r="D439">
        <v>6.953464</v>
      </c>
    </row>
    <row r="440" spans="1:4">
      <c r="A440" s="28" t="s">
        <v>10</v>
      </c>
      <c r="B440">
        <v>6.66613</v>
      </c>
      <c r="C440">
        <v>0.287334</v>
      </c>
      <c r="D440">
        <v>6.953464</v>
      </c>
    </row>
    <row r="441" spans="1:4">
      <c r="A441" s="16" t="s">
        <v>243</v>
      </c>
      <c r="B441">
        <v>0</v>
      </c>
      <c r="C441">
        <v>6.588059</v>
      </c>
      <c r="D441">
        <v>6.588059</v>
      </c>
    </row>
    <row r="442" spans="1:4">
      <c r="A442" s="28" t="s">
        <v>10</v>
      </c>
      <c r="B442">
        <v>0</v>
      </c>
      <c r="C442">
        <v>6.588059</v>
      </c>
      <c r="D442">
        <v>6.588059</v>
      </c>
    </row>
    <row r="443" spans="1:4">
      <c r="A443" s="16" t="s">
        <v>244</v>
      </c>
      <c r="B443">
        <v>17.998435</v>
      </c>
      <c r="C443">
        <v>0</v>
      </c>
      <c r="D443">
        <v>17.998435</v>
      </c>
    </row>
    <row r="444" spans="1:4">
      <c r="A444" s="28" t="s">
        <v>10</v>
      </c>
      <c r="B444">
        <v>17.998435</v>
      </c>
      <c r="C444">
        <v>0</v>
      </c>
      <c r="D444">
        <v>17.998435</v>
      </c>
    </row>
    <row r="445" spans="1:4">
      <c r="A445" s="16" t="s">
        <v>245</v>
      </c>
      <c r="B445">
        <v>0</v>
      </c>
      <c r="C445">
        <v>4.84282</v>
      </c>
      <c r="D445">
        <v>4.84282</v>
      </c>
    </row>
    <row r="446" spans="1:4">
      <c r="A446" s="28" t="s">
        <v>10</v>
      </c>
      <c r="B446">
        <v>0</v>
      </c>
      <c r="C446">
        <v>4.84282</v>
      </c>
      <c r="D446">
        <v>4.84282</v>
      </c>
    </row>
    <row r="447" spans="1:4">
      <c r="A447" s="16" t="s">
        <v>246</v>
      </c>
      <c r="B447">
        <v>253.807832</v>
      </c>
      <c r="C447">
        <v>0</v>
      </c>
      <c r="D447">
        <v>253.807832</v>
      </c>
    </row>
    <row r="448" spans="1:4">
      <c r="A448" s="28" t="s">
        <v>247</v>
      </c>
      <c r="B448">
        <v>253.807832</v>
      </c>
      <c r="C448">
        <v>0</v>
      </c>
      <c r="D448">
        <v>253.807832</v>
      </c>
    </row>
    <row r="449" spans="1:4">
      <c r="A449" s="16" t="s">
        <v>248</v>
      </c>
      <c r="B449">
        <v>137.173624</v>
      </c>
      <c r="C449">
        <v>0</v>
      </c>
      <c r="D449">
        <v>137.173624</v>
      </c>
    </row>
    <row r="450" spans="1:4">
      <c r="A450" s="28" t="s">
        <v>10</v>
      </c>
      <c r="B450">
        <v>137.173624</v>
      </c>
      <c r="C450">
        <v>0</v>
      </c>
      <c r="D450">
        <v>137.173624</v>
      </c>
    </row>
    <row r="451" spans="1:4">
      <c r="A451" s="16" t="s">
        <v>249</v>
      </c>
      <c r="B451">
        <v>0</v>
      </c>
      <c r="C451">
        <v>0.74605</v>
      </c>
      <c r="D451">
        <v>0.74605</v>
      </c>
    </row>
    <row r="452" spans="1:4">
      <c r="A452" s="28" t="s">
        <v>10</v>
      </c>
      <c r="B452">
        <v>0</v>
      </c>
      <c r="C452">
        <v>0.74605</v>
      </c>
      <c r="D452">
        <v>0.74605</v>
      </c>
    </row>
    <row r="453" spans="1:4">
      <c r="A453" s="16" t="s">
        <v>250</v>
      </c>
      <c r="B453">
        <v>5.25881</v>
      </c>
      <c r="C453">
        <v>5.817722</v>
      </c>
      <c r="D453">
        <v>11.076532</v>
      </c>
    </row>
    <row r="454" spans="1:4">
      <c r="A454" s="28" t="s">
        <v>10</v>
      </c>
      <c r="B454">
        <v>5.25881</v>
      </c>
      <c r="C454">
        <v>5.817722</v>
      </c>
      <c r="D454">
        <v>11.076532</v>
      </c>
    </row>
    <row r="455" spans="1:4">
      <c r="A455" s="16" t="s">
        <v>251</v>
      </c>
      <c r="B455">
        <v>96.574397</v>
      </c>
      <c r="C455">
        <v>17.5</v>
      </c>
      <c r="D455">
        <v>114.074397</v>
      </c>
    </row>
    <row r="456" spans="1:4">
      <c r="A456" s="28" t="s">
        <v>10</v>
      </c>
      <c r="B456">
        <v>96.574397</v>
      </c>
      <c r="C456">
        <v>17.5</v>
      </c>
      <c r="D456">
        <v>114.074397</v>
      </c>
    </row>
    <row r="457" spans="1:4">
      <c r="A457" s="16" t="s">
        <v>252</v>
      </c>
      <c r="B457">
        <v>12.70952</v>
      </c>
      <c r="C457">
        <v>7.5</v>
      </c>
      <c r="D457">
        <v>20.20952</v>
      </c>
    </row>
    <row r="458" spans="1:4">
      <c r="A458" s="28" t="s">
        <v>10</v>
      </c>
      <c r="B458">
        <v>12.70952</v>
      </c>
      <c r="C458">
        <v>7.5</v>
      </c>
      <c r="D458">
        <v>20.20952</v>
      </c>
    </row>
    <row r="459" spans="1:4">
      <c r="A459" s="16" t="s">
        <v>253</v>
      </c>
      <c r="B459">
        <v>14.334626</v>
      </c>
      <c r="C459">
        <v>5.317153</v>
      </c>
      <c r="D459">
        <v>19.651779</v>
      </c>
    </row>
    <row r="460" spans="1:4">
      <c r="A460" s="28" t="s">
        <v>10</v>
      </c>
      <c r="B460">
        <v>14.334626</v>
      </c>
      <c r="C460">
        <v>5.317153</v>
      </c>
      <c r="D460">
        <v>19.651779</v>
      </c>
    </row>
    <row r="461" spans="1:4">
      <c r="A461" s="16" t="s">
        <v>254</v>
      </c>
      <c r="B461">
        <v>5.458546</v>
      </c>
      <c r="C461">
        <v>107.5</v>
      </c>
      <c r="D461">
        <v>112.958546</v>
      </c>
    </row>
    <row r="462" spans="1:4">
      <c r="A462" s="28" t="s">
        <v>10</v>
      </c>
      <c r="B462">
        <v>5.458546</v>
      </c>
      <c r="C462">
        <v>107.5</v>
      </c>
      <c r="D462">
        <v>112.958546</v>
      </c>
    </row>
    <row r="463" spans="1:4">
      <c r="A463" s="16" t="s">
        <v>255</v>
      </c>
      <c r="B463">
        <v>2.519914</v>
      </c>
      <c r="C463">
        <v>3.156362</v>
      </c>
      <c r="D463">
        <v>5.676276</v>
      </c>
    </row>
    <row r="464" spans="1:4">
      <c r="A464" s="28" t="s">
        <v>10</v>
      </c>
      <c r="B464">
        <v>2.519914</v>
      </c>
      <c r="C464">
        <v>3.156362</v>
      </c>
      <c r="D464">
        <v>5.676276</v>
      </c>
    </row>
    <row r="465" spans="1:4">
      <c r="A465" s="16" t="s">
        <v>256</v>
      </c>
      <c r="B465">
        <v>0.070094</v>
      </c>
      <c r="C465">
        <v>0</v>
      </c>
      <c r="D465">
        <v>0.070094</v>
      </c>
    </row>
    <row r="466" spans="1:4">
      <c r="A466" s="28" t="s">
        <v>10</v>
      </c>
      <c r="B466">
        <v>0.070094</v>
      </c>
      <c r="C466">
        <v>0</v>
      </c>
      <c r="D466">
        <v>0.070094</v>
      </c>
    </row>
    <row r="467" spans="1:4">
      <c r="A467" s="16" t="s">
        <v>257</v>
      </c>
      <c r="B467">
        <v>68.058973</v>
      </c>
      <c r="C467">
        <v>7.5</v>
      </c>
      <c r="D467">
        <v>75.558973</v>
      </c>
    </row>
    <row r="468" spans="1:4">
      <c r="A468" s="28" t="s">
        <v>10</v>
      </c>
      <c r="B468">
        <v>68.058973</v>
      </c>
      <c r="C468">
        <v>7.5</v>
      </c>
      <c r="D468">
        <v>75.558973</v>
      </c>
    </row>
    <row r="469" spans="1:4">
      <c r="A469" s="16" t="s">
        <v>258</v>
      </c>
      <c r="B469">
        <v>2.12496</v>
      </c>
      <c r="C469">
        <v>0</v>
      </c>
      <c r="D469">
        <v>2.12496</v>
      </c>
    </row>
    <row r="470" spans="1:4">
      <c r="A470" s="28" t="s">
        <v>10</v>
      </c>
      <c r="B470">
        <v>2.12496</v>
      </c>
      <c r="C470">
        <v>0</v>
      </c>
      <c r="D470">
        <v>2.12496</v>
      </c>
    </row>
    <row r="471" spans="1:4">
      <c r="A471" s="16" t="s">
        <v>259</v>
      </c>
      <c r="B471">
        <v>0</v>
      </c>
      <c r="C471">
        <v>4.63471</v>
      </c>
      <c r="D471">
        <v>4.63471</v>
      </c>
    </row>
    <row r="472" spans="1:4">
      <c r="A472" s="28" t="s">
        <v>10</v>
      </c>
      <c r="B472">
        <v>0</v>
      </c>
      <c r="C472">
        <v>4.63471</v>
      </c>
      <c r="D472">
        <v>4.63471</v>
      </c>
    </row>
    <row r="473" spans="1:4">
      <c r="A473" s="16" t="s">
        <v>260</v>
      </c>
      <c r="B473">
        <v>163.278542</v>
      </c>
      <c r="C473">
        <v>7.114051</v>
      </c>
      <c r="D473">
        <v>170.392593</v>
      </c>
    </row>
    <row r="474" spans="1:4">
      <c r="A474" s="28" t="s">
        <v>10</v>
      </c>
      <c r="B474">
        <v>163.278542</v>
      </c>
      <c r="C474">
        <v>7.114051</v>
      </c>
      <c r="D474">
        <v>170.392593</v>
      </c>
    </row>
    <row r="475" spans="1:4">
      <c r="A475" s="16" t="s">
        <v>261</v>
      </c>
      <c r="B475">
        <v>0.061046</v>
      </c>
      <c r="C475">
        <v>0</v>
      </c>
      <c r="D475">
        <v>0.061046</v>
      </c>
    </row>
    <row r="476" spans="1:4">
      <c r="A476" s="28" t="s">
        <v>10</v>
      </c>
      <c r="B476">
        <v>0.061046</v>
      </c>
      <c r="C476">
        <v>0</v>
      </c>
      <c r="D476">
        <v>0.061046</v>
      </c>
    </row>
    <row r="477" spans="1:4">
      <c r="A477" s="16" t="s">
        <v>262</v>
      </c>
      <c r="B477">
        <v>0.415034</v>
      </c>
      <c r="C477">
        <v>0</v>
      </c>
      <c r="D477">
        <v>0.415034</v>
      </c>
    </row>
    <row r="478" spans="1:4">
      <c r="A478" s="28" t="s">
        <v>10</v>
      </c>
      <c r="B478">
        <v>0.415034</v>
      </c>
      <c r="C478">
        <v>0</v>
      </c>
      <c r="D478">
        <v>0.415034</v>
      </c>
    </row>
    <row r="479" spans="1:4">
      <c r="A479" s="16" t="s">
        <v>263</v>
      </c>
      <c r="B479">
        <v>3523.873787</v>
      </c>
      <c r="C479">
        <v>0</v>
      </c>
      <c r="D479">
        <v>3523.873787</v>
      </c>
    </row>
    <row r="480" spans="1:4">
      <c r="A480" s="28" t="s">
        <v>10</v>
      </c>
      <c r="B480">
        <v>3523.873787</v>
      </c>
      <c r="C480">
        <v>0</v>
      </c>
      <c r="D480">
        <v>3523.873787</v>
      </c>
    </row>
    <row r="481" spans="1:4">
      <c r="A481" s="16" t="s">
        <v>264</v>
      </c>
      <c r="B481">
        <v>820.3464</v>
      </c>
      <c r="C481">
        <v>0</v>
      </c>
      <c r="D481">
        <v>820.3464</v>
      </c>
    </row>
    <row r="482" spans="1:4">
      <c r="A482" s="28" t="s">
        <v>10</v>
      </c>
      <c r="B482">
        <v>820.3464</v>
      </c>
      <c r="C482">
        <v>0</v>
      </c>
      <c r="D482">
        <v>820.3464</v>
      </c>
    </row>
    <row r="483" spans="1:4">
      <c r="A483" s="16" t="s">
        <v>265</v>
      </c>
      <c r="B483">
        <v>0.312901</v>
      </c>
      <c r="C483">
        <v>50.4592</v>
      </c>
      <c r="D483">
        <v>50.772101</v>
      </c>
    </row>
    <row r="484" spans="1:4">
      <c r="A484" s="28" t="s">
        <v>266</v>
      </c>
      <c r="B484">
        <v>0.312901</v>
      </c>
      <c r="C484">
        <v>50.4592</v>
      </c>
      <c r="D484">
        <v>50.772101</v>
      </c>
    </row>
    <row r="485" spans="1:4">
      <c r="A485" s="16" t="s">
        <v>267</v>
      </c>
      <c r="B485">
        <v>0.040946</v>
      </c>
      <c r="C485">
        <v>0</v>
      </c>
      <c r="D485">
        <v>0.040946</v>
      </c>
    </row>
    <row r="486" spans="1:4">
      <c r="A486" s="28" t="s">
        <v>10</v>
      </c>
      <c r="B486">
        <v>0.040946</v>
      </c>
      <c r="C486">
        <v>0</v>
      </c>
      <c r="D486">
        <v>0.040946</v>
      </c>
    </row>
    <row r="487" spans="1:4">
      <c r="A487" s="16" t="s">
        <v>268</v>
      </c>
      <c r="B487">
        <v>41.072308</v>
      </c>
      <c r="C487">
        <v>0</v>
      </c>
      <c r="D487">
        <v>41.072308</v>
      </c>
    </row>
    <row r="488" spans="1:4">
      <c r="A488" s="28" t="s">
        <v>10</v>
      </c>
      <c r="B488">
        <v>41.072308</v>
      </c>
      <c r="C488">
        <v>0</v>
      </c>
      <c r="D488">
        <v>41.072308</v>
      </c>
    </row>
    <row r="489" spans="1:4">
      <c r="A489" s="16" t="s">
        <v>269</v>
      </c>
      <c r="B489">
        <v>0.169624</v>
      </c>
      <c r="C489">
        <v>0</v>
      </c>
      <c r="D489">
        <v>0.169624</v>
      </c>
    </row>
    <row r="490" spans="1:4">
      <c r="A490" s="28" t="s">
        <v>10</v>
      </c>
      <c r="B490">
        <v>0.169624</v>
      </c>
      <c r="C490">
        <v>0</v>
      </c>
      <c r="D490">
        <v>0.169624</v>
      </c>
    </row>
    <row r="491" spans="1:4">
      <c r="A491" s="16" t="s">
        <v>270</v>
      </c>
      <c r="B491">
        <v>0.178478</v>
      </c>
      <c r="C491">
        <v>0</v>
      </c>
      <c r="D491">
        <v>0.178478</v>
      </c>
    </row>
    <row r="492" spans="1:4">
      <c r="A492" s="28" t="s">
        <v>10</v>
      </c>
      <c r="B492">
        <v>0.178478</v>
      </c>
      <c r="C492">
        <v>0</v>
      </c>
      <c r="D492">
        <v>0.178478</v>
      </c>
    </row>
    <row r="493" spans="1:4">
      <c r="A493" s="16" t="s">
        <v>271</v>
      </c>
      <c r="B493">
        <v>540.538098</v>
      </c>
      <c r="C493">
        <v>5.673134</v>
      </c>
      <c r="D493">
        <v>546.211232</v>
      </c>
    </row>
    <row r="494" spans="1:4">
      <c r="A494" s="28" t="s">
        <v>272</v>
      </c>
      <c r="B494">
        <v>540.538098</v>
      </c>
      <c r="C494">
        <v>5.673134</v>
      </c>
      <c r="D494">
        <v>546.211232</v>
      </c>
    </row>
    <row r="495" spans="1:4">
      <c r="A495" s="16" t="s">
        <v>273</v>
      </c>
      <c r="B495">
        <v>37.134608</v>
      </c>
      <c r="C495">
        <v>5.540531</v>
      </c>
      <c r="D495">
        <v>42.675139</v>
      </c>
    </row>
    <row r="496" spans="1:4">
      <c r="A496" s="28" t="s">
        <v>10</v>
      </c>
      <c r="B496">
        <v>37.134608</v>
      </c>
      <c r="C496">
        <v>5.540531</v>
      </c>
      <c r="D496">
        <v>42.675139</v>
      </c>
    </row>
    <row r="497" spans="1:4">
      <c r="A497" s="16" t="s">
        <v>274</v>
      </c>
      <c r="B497">
        <v>11.676978</v>
      </c>
      <c r="C497">
        <v>0</v>
      </c>
      <c r="D497">
        <v>11.676978</v>
      </c>
    </row>
    <row r="498" spans="1:4">
      <c r="A498" s="28" t="s">
        <v>10</v>
      </c>
      <c r="B498">
        <v>11.676978</v>
      </c>
      <c r="C498">
        <v>0</v>
      </c>
      <c r="D498">
        <v>11.676978</v>
      </c>
    </row>
    <row r="499" spans="1:4">
      <c r="A499" s="16" t="s">
        <v>275</v>
      </c>
      <c r="B499">
        <v>0.187332</v>
      </c>
      <c r="C499">
        <v>0</v>
      </c>
      <c r="D499">
        <v>0.187332</v>
      </c>
    </row>
    <row r="500" spans="1:4">
      <c r="A500" s="28" t="s">
        <v>10</v>
      </c>
      <c r="B500">
        <v>0.187332</v>
      </c>
      <c r="C500">
        <v>0</v>
      </c>
      <c r="D500">
        <v>0.187332</v>
      </c>
    </row>
    <row r="501" spans="1:4">
      <c r="A501" s="16" t="s">
        <v>276</v>
      </c>
      <c r="B501">
        <v>290.149308</v>
      </c>
      <c r="C501">
        <v>7.933965</v>
      </c>
      <c r="D501">
        <v>298.083273</v>
      </c>
    </row>
    <row r="502" spans="1:4">
      <c r="A502" s="28" t="s">
        <v>10</v>
      </c>
      <c r="B502">
        <v>290.149308</v>
      </c>
      <c r="C502">
        <v>7.933965</v>
      </c>
      <c r="D502">
        <v>298.083273</v>
      </c>
    </row>
    <row r="503" spans="1:4">
      <c r="A503" s="16" t="s">
        <v>277</v>
      </c>
      <c r="B503">
        <v>59.231532</v>
      </c>
      <c r="C503">
        <v>57.5</v>
      </c>
      <c r="D503">
        <v>116.731532</v>
      </c>
    </row>
    <row r="504" spans="1:4">
      <c r="A504" s="28" t="s">
        <v>10</v>
      </c>
      <c r="B504">
        <v>59.231532</v>
      </c>
      <c r="C504">
        <v>57.5</v>
      </c>
      <c r="D504">
        <v>116.731532</v>
      </c>
    </row>
    <row r="505" spans="1:4">
      <c r="A505" s="16" t="s">
        <v>278</v>
      </c>
      <c r="B505">
        <v>0</v>
      </c>
      <c r="C505">
        <v>2.334798</v>
      </c>
      <c r="D505">
        <v>2.334798</v>
      </c>
    </row>
    <row r="506" spans="1:4">
      <c r="A506" s="28" t="s">
        <v>10</v>
      </c>
      <c r="B506">
        <v>0</v>
      </c>
      <c r="C506">
        <v>2.334798</v>
      </c>
      <c r="D506">
        <v>2.334798</v>
      </c>
    </row>
    <row r="507" spans="1:4">
      <c r="A507" s="16" t="s">
        <v>279</v>
      </c>
      <c r="B507">
        <v>0.178372</v>
      </c>
      <c r="C507">
        <v>10.144342</v>
      </c>
      <c r="D507">
        <v>10.322714</v>
      </c>
    </row>
    <row r="508" spans="1:4">
      <c r="A508" s="28" t="s">
        <v>10</v>
      </c>
      <c r="B508">
        <v>0.178372</v>
      </c>
      <c r="C508">
        <v>10.144342</v>
      </c>
      <c r="D508">
        <v>10.322714</v>
      </c>
    </row>
    <row r="509" spans="1:4">
      <c r="A509" s="16" t="s">
        <v>280</v>
      </c>
      <c r="B509">
        <v>28.24085</v>
      </c>
      <c r="C509">
        <v>0</v>
      </c>
      <c r="D509">
        <v>28.24085</v>
      </c>
    </row>
    <row r="510" spans="1:4">
      <c r="A510" s="28" t="s">
        <v>10</v>
      </c>
      <c r="B510">
        <v>28.24085</v>
      </c>
      <c r="C510">
        <v>0</v>
      </c>
      <c r="D510">
        <v>28.24085</v>
      </c>
    </row>
    <row r="511" spans="1:4">
      <c r="A511" s="16" t="s">
        <v>281</v>
      </c>
      <c r="B511">
        <v>289.88928</v>
      </c>
      <c r="C511">
        <v>0</v>
      </c>
      <c r="D511">
        <v>289.88928</v>
      </c>
    </row>
    <row r="512" spans="1:4">
      <c r="A512" s="28" t="s">
        <v>10</v>
      </c>
      <c r="B512">
        <v>289.88928</v>
      </c>
      <c r="C512">
        <v>0</v>
      </c>
      <c r="D512">
        <v>289.88928</v>
      </c>
    </row>
    <row r="513" spans="1:4">
      <c r="A513" s="16" t="s">
        <v>282</v>
      </c>
      <c r="B513">
        <v>0.297774</v>
      </c>
      <c r="C513">
        <v>0</v>
      </c>
      <c r="D513">
        <v>0.297774</v>
      </c>
    </row>
    <row r="514" spans="1:4">
      <c r="A514" s="28" t="s">
        <v>10</v>
      </c>
      <c r="B514">
        <v>0.297774</v>
      </c>
      <c r="C514">
        <v>0</v>
      </c>
      <c r="D514">
        <v>0.297774</v>
      </c>
    </row>
    <row r="515" spans="1:4">
      <c r="A515" s="16" t="s">
        <v>283</v>
      </c>
      <c r="B515">
        <v>5.380769</v>
      </c>
      <c r="C515">
        <v>0</v>
      </c>
      <c r="D515">
        <v>5.380769</v>
      </c>
    </row>
    <row r="516" spans="1:4">
      <c r="A516" s="28" t="s">
        <v>10</v>
      </c>
      <c r="B516">
        <v>5.380769</v>
      </c>
      <c r="C516">
        <v>0</v>
      </c>
      <c r="D516">
        <v>5.380769</v>
      </c>
    </row>
    <row r="517" spans="1:4">
      <c r="A517" s="16" t="s">
        <v>284</v>
      </c>
      <c r="B517">
        <v>51.015528</v>
      </c>
      <c r="C517">
        <v>12.108872</v>
      </c>
      <c r="D517">
        <v>63.1244</v>
      </c>
    </row>
    <row r="518" spans="1:4">
      <c r="A518" s="28" t="s">
        <v>10</v>
      </c>
      <c r="B518">
        <v>51.015528</v>
      </c>
      <c r="C518">
        <v>12.108872</v>
      </c>
      <c r="D518">
        <v>63.1244</v>
      </c>
    </row>
    <row r="519" spans="1:4">
      <c r="A519" s="16" t="s">
        <v>285</v>
      </c>
      <c r="B519">
        <v>0.049862</v>
      </c>
      <c r="C519">
        <v>0</v>
      </c>
      <c r="D519">
        <v>0.049862</v>
      </c>
    </row>
    <row r="520" spans="1:4">
      <c r="A520" s="28" t="s">
        <v>10</v>
      </c>
      <c r="B520">
        <v>0.049862</v>
      </c>
      <c r="C520">
        <v>0</v>
      </c>
      <c r="D520">
        <v>0.049862</v>
      </c>
    </row>
    <row r="521" spans="1:4">
      <c r="A521" s="16" t="s">
        <v>286</v>
      </c>
      <c r="B521">
        <v>6.163316</v>
      </c>
      <c r="C521">
        <v>0</v>
      </c>
      <c r="D521">
        <v>6.163316</v>
      </c>
    </row>
    <row r="522" spans="1:4">
      <c r="A522" s="28" t="s">
        <v>10</v>
      </c>
      <c r="B522">
        <v>6.163316</v>
      </c>
      <c r="C522">
        <v>0</v>
      </c>
      <c r="D522">
        <v>6.163316</v>
      </c>
    </row>
    <row r="523" spans="1:4">
      <c r="A523" s="16" t="s">
        <v>287</v>
      </c>
      <c r="B523">
        <v>0</v>
      </c>
      <c r="C523">
        <v>1.955802</v>
      </c>
      <c r="D523">
        <v>1.955802</v>
      </c>
    </row>
    <row r="524" spans="1:4">
      <c r="A524" s="28" t="s">
        <v>10</v>
      </c>
      <c r="B524">
        <v>0</v>
      </c>
      <c r="C524">
        <v>1.955802</v>
      </c>
      <c r="D524">
        <v>1.955802</v>
      </c>
    </row>
    <row r="525" spans="1:4">
      <c r="A525" s="16" t="s">
        <v>288</v>
      </c>
      <c r="B525">
        <v>77.814334</v>
      </c>
      <c r="C525">
        <v>6.780432</v>
      </c>
      <c r="D525">
        <v>84.594766</v>
      </c>
    </row>
    <row r="526" spans="1:4">
      <c r="A526" s="28" t="s">
        <v>10</v>
      </c>
      <c r="B526">
        <v>77.814334</v>
      </c>
      <c r="C526">
        <v>6.780432</v>
      </c>
      <c r="D526">
        <v>84.594766</v>
      </c>
    </row>
    <row r="527" spans="1:4">
      <c r="A527" s="16" t="s">
        <v>289</v>
      </c>
      <c r="B527">
        <v>7.989104</v>
      </c>
      <c r="C527">
        <v>0</v>
      </c>
      <c r="D527">
        <v>7.989104</v>
      </c>
    </row>
    <row r="528" spans="1:4">
      <c r="A528" s="28" t="s">
        <v>10</v>
      </c>
      <c r="B528">
        <v>7.989104</v>
      </c>
      <c r="C528">
        <v>0</v>
      </c>
      <c r="D528">
        <v>7.989104</v>
      </c>
    </row>
    <row r="529" spans="1:4">
      <c r="A529" s="16" t="s">
        <v>290</v>
      </c>
      <c r="B529">
        <v>0.254004</v>
      </c>
      <c r="C529">
        <v>0</v>
      </c>
      <c r="D529">
        <v>0.254004</v>
      </c>
    </row>
    <row r="530" spans="1:4">
      <c r="A530" s="28" t="s">
        <v>10</v>
      </c>
      <c r="B530">
        <v>0.254004</v>
      </c>
      <c r="C530">
        <v>0</v>
      </c>
      <c r="D530">
        <v>0.254004</v>
      </c>
    </row>
    <row r="531" spans="1:4">
      <c r="A531" s="16" t="s">
        <v>291</v>
      </c>
      <c r="B531">
        <v>139.3254</v>
      </c>
      <c r="C531">
        <v>26.353859</v>
      </c>
      <c r="D531">
        <v>165.679259</v>
      </c>
    </row>
    <row r="532" spans="1:4">
      <c r="A532" s="28" t="s">
        <v>10</v>
      </c>
      <c r="B532">
        <v>139.3254</v>
      </c>
      <c r="C532">
        <v>26.353859</v>
      </c>
      <c r="D532">
        <v>165.679259</v>
      </c>
    </row>
    <row r="533" spans="1:4">
      <c r="A533" s="16" t="s">
        <v>292</v>
      </c>
      <c r="B533">
        <v>1.935298</v>
      </c>
      <c r="C533">
        <v>2.571744</v>
      </c>
      <c r="D533">
        <v>4.507042</v>
      </c>
    </row>
    <row r="534" spans="1:4">
      <c r="A534" s="28" t="s">
        <v>10</v>
      </c>
      <c r="B534">
        <v>1.935298</v>
      </c>
      <c r="C534">
        <v>2.571744</v>
      </c>
      <c r="D534">
        <v>4.507042</v>
      </c>
    </row>
    <row r="535" spans="1:4">
      <c r="A535" s="16" t="s">
        <v>293</v>
      </c>
      <c r="B535">
        <v>0.588321</v>
      </c>
      <c r="C535">
        <v>10</v>
      </c>
      <c r="D535">
        <v>10.588321</v>
      </c>
    </row>
    <row r="536" spans="1:4">
      <c r="A536" s="28" t="s">
        <v>10</v>
      </c>
      <c r="B536">
        <v>0.588321</v>
      </c>
      <c r="C536">
        <v>10</v>
      </c>
      <c r="D536">
        <v>10.588321</v>
      </c>
    </row>
    <row r="537" spans="1:4">
      <c r="A537" s="16" t="s">
        <v>294</v>
      </c>
      <c r="B537">
        <v>140.578163</v>
      </c>
      <c r="C537">
        <v>15.705729</v>
      </c>
      <c r="D537">
        <v>156.283892</v>
      </c>
    </row>
    <row r="538" spans="1:4">
      <c r="A538" s="28" t="s">
        <v>10</v>
      </c>
      <c r="B538">
        <v>140.578163</v>
      </c>
      <c r="C538">
        <v>15.705729</v>
      </c>
      <c r="D538">
        <v>156.283892</v>
      </c>
    </row>
    <row r="539" spans="1:4">
      <c r="A539" s="16" t="s">
        <v>295</v>
      </c>
      <c r="B539">
        <v>51.169481</v>
      </c>
      <c r="C539">
        <v>7.786031</v>
      </c>
      <c r="D539">
        <v>58.955512</v>
      </c>
    </row>
    <row r="540" spans="1:4">
      <c r="A540" s="28" t="s">
        <v>10</v>
      </c>
      <c r="B540">
        <v>51.169481</v>
      </c>
      <c r="C540">
        <v>7.786031</v>
      </c>
      <c r="D540">
        <v>58.955512</v>
      </c>
    </row>
    <row r="541" spans="1:4">
      <c r="A541" s="16" t="s">
        <v>296</v>
      </c>
      <c r="B541">
        <v>0.262332</v>
      </c>
      <c r="C541">
        <v>0</v>
      </c>
      <c r="D541">
        <v>0.262332</v>
      </c>
    </row>
    <row r="542" spans="1:4">
      <c r="A542" s="28" t="s">
        <v>10</v>
      </c>
      <c r="B542">
        <v>0.262332</v>
      </c>
      <c r="C542">
        <v>0</v>
      </c>
      <c r="D542">
        <v>0.262332</v>
      </c>
    </row>
    <row r="543" spans="1:4">
      <c r="A543" s="16" t="s">
        <v>297</v>
      </c>
      <c r="B543">
        <v>7.170342</v>
      </c>
      <c r="C543">
        <v>1.439012</v>
      </c>
      <c r="D543">
        <v>8.609354</v>
      </c>
    </row>
    <row r="544" spans="1:4">
      <c r="A544" s="28" t="s">
        <v>10</v>
      </c>
      <c r="B544">
        <v>7.170342</v>
      </c>
      <c r="C544">
        <v>1.439012</v>
      </c>
      <c r="D544">
        <v>8.609354</v>
      </c>
    </row>
    <row r="545" spans="1:4">
      <c r="A545" s="16" t="s">
        <v>298</v>
      </c>
      <c r="B545">
        <v>10.532838</v>
      </c>
      <c r="C545">
        <v>0</v>
      </c>
      <c r="D545">
        <v>10.532838</v>
      </c>
    </row>
    <row r="546" spans="1:4">
      <c r="A546" s="28" t="s">
        <v>10</v>
      </c>
      <c r="B546">
        <v>10.532838</v>
      </c>
      <c r="C546">
        <v>0</v>
      </c>
      <c r="D546">
        <v>10.532838</v>
      </c>
    </row>
    <row r="547" spans="1:4">
      <c r="A547" s="16" t="s">
        <v>299</v>
      </c>
      <c r="B547">
        <v>5.753052</v>
      </c>
      <c r="C547">
        <v>0.20803</v>
      </c>
      <c r="D547">
        <v>5.961082</v>
      </c>
    </row>
    <row r="548" spans="1:4">
      <c r="A548" s="28" t="s">
        <v>10</v>
      </c>
      <c r="B548">
        <v>5.753052</v>
      </c>
      <c r="C548">
        <v>0.20803</v>
      </c>
      <c r="D548">
        <v>5.961082</v>
      </c>
    </row>
    <row r="549" spans="1:4">
      <c r="A549" s="16" t="s">
        <v>300</v>
      </c>
      <c r="B549">
        <v>0.45901</v>
      </c>
      <c r="C549">
        <v>0.13761</v>
      </c>
      <c r="D549">
        <v>0.59662</v>
      </c>
    </row>
    <row r="550" spans="1:4">
      <c r="A550" s="28" t="s">
        <v>10</v>
      </c>
      <c r="B550">
        <v>0.45901</v>
      </c>
      <c r="C550">
        <v>0.13761</v>
      </c>
      <c r="D550">
        <v>0.59662</v>
      </c>
    </row>
    <row r="551" spans="1:4">
      <c r="A551" s="16" t="s">
        <v>301</v>
      </c>
      <c r="B551">
        <v>1.171321</v>
      </c>
      <c r="C551">
        <v>7.5</v>
      </c>
      <c r="D551">
        <v>8.671321</v>
      </c>
    </row>
    <row r="552" spans="1:4">
      <c r="A552" s="28" t="s">
        <v>10</v>
      </c>
      <c r="B552">
        <v>1.171321</v>
      </c>
      <c r="C552">
        <v>7.5</v>
      </c>
      <c r="D552">
        <v>8.671321</v>
      </c>
    </row>
    <row r="553" spans="1:4">
      <c r="A553" s="16" t="s">
        <v>302</v>
      </c>
      <c r="B553">
        <v>8.433488</v>
      </c>
      <c r="C553">
        <v>0</v>
      </c>
      <c r="D553">
        <v>8.433488</v>
      </c>
    </row>
    <row r="554" spans="1:4">
      <c r="A554" s="28" t="s">
        <v>10</v>
      </c>
      <c r="B554">
        <v>8.433488</v>
      </c>
      <c r="C554">
        <v>0</v>
      </c>
      <c r="D554">
        <v>8.433488</v>
      </c>
    </row>
    <row r="555" spans="1:4">
      <c r="A555" s="16" t="s">
        <v>303</v>
      </c>
      <c r="B555">
        <v>41.243186</v>
      </c>
      <c r="C555">
        <v>10.581584</v>
      </c>
      <c r="D555">
        <v>51.82477</v>
      </c>
    </row>
    <row r="556" spans="1:4">
      <c r="A556" s="28" t="s">
        <v>10</v>
      </c>
      <c r="B556">
        <v>41.243186</v>
      </c>
      <c r="C556">
        <v>10.581584</v>
      </c>
      <c r="D556">
        <v>51.82477</v>
      </c>
    </row>
    <row r="557" spans="1:4">
      <c r="A557" s="16" t="s">
        <v>304</v>
      </c>
      <c r="B557">
        <v>4.319456</v>
      </c>
      <c r="C557">
        <v>0</v>
      </c>
      <c r="D557">
        <v>4.319456</v>
      </c>
    </row>
    <row r="558" spans="1:4">
      <c r="A558" s="28" t="s">
        <v>10</v>
      </c>
      <c r="B558">
        <v>4.319456</v>
      </c>
      <c r="C558">
        <v>0</v>
      </c>
      <c r="D558">
        <v>4.319456</v>
      </c>
    </row>
    <row r="559" spans="1:4">
      <c r="A559" s="16" t="s">
        <v>305</v>
      </c>
      <c r="B559">
        <v>10.103346</v>
      </c>
      <c r="C559">
        <v>0</v>
      </c>
      <c r="D559">
        <v>10.103346</v>
      </c>
    </row>
    <row r="560" spans="1:4">
      <c r="A560" s="28" t="s">
        <v>10</v>
      </c>
      <c r="B560">
        <v>10.103346</v>
      </c>
      <c r="C560">
        <v>0</v>
      </c>
      <c r="D560">
        <v>10.103346</v>
      </c>
    </row>
    <row r="561" spans="1:4">
      <c r="A561" s="16" t="s">
        <v>306</v>
      </c>
      <c r="B561">
        <v>821.911694</v>
      </c>
      <c r="C561">
        <v>0</v>
      </c>
      <c r="D561">
        <v>821.911694</v>
      </c>
    </row>
    <row r="562" spans="1:4">
      <c r="A562" s="28" t="s">
        <v>10</v>
      </c>
      <c r="B562">
        <v>821.911694</v>
      </c>
      <c r="C562">
        <v>0</v>
      </c>
      <c r="D562">
        <v>821.911694</v>
      </c>
    </row>
    <row r="563" spans="1:4">
      <c r="A563" s="16" t="s">
        <v>307</v>
      </c>
      <c r="B563">
        <v>18.174252</v>
      </c>
      <c r="C563">
        <v>7.5</v>
      </c>
      <c r="D563">
        <v>25.674252</v>
      </c>
    </row>
    <row r="564" spans="1:4">
      <c r="A564" s="28" t="s">
        <v>10</v>
      </c>
      <c r="B564">
        <v>18.174252</v>
      </c>
      <c r="C564">
        <v>7.5</v>
      </c>
      <c r="D564">
        <v>25.674252</v>
      </c>
    </row>
    <row r="565" spans="1:4">
      <c r="A565" s="16" t="s">
        <v>308</v>
      </c>
      <c r="B565">
        <v>205.513159</v>
      </c>
      <c r="C565">
        <v>10</v>
      </c>
      <c r="D565">
        <v>215.513159</v>
      </c>
    </row>
    <row r="566" spans="1:4">
      <c r="A566" s="28" t="s">
        <v>10</v>
      </c>
      <c r="B566">
        <v>205.513159</v>
      </c>
      <c r="C566">
        <v>10</v>
      </c>
      <c r="D566">
        <v>215.513159</v>
      </c>
    </row>
    <row r="567" spans="1:4">
      <c r="A567" s="16" t="s">
        <v>309</v>
      </c>
      <c r="B567">
        <v>3.183365</v>
      </c>
      <c r="C567">
        <v>0</v>
      </c>
      <c r="D567">
        <v>3.183365</v>
      </c>
    </row>
    <row r="568" spans="1:4">
      <c r="A568" s="28" t="s">
        <v>10</v>
      </c>
      <c r="B568">
        <v>3.183365</v>
      </c>
      <c r="C568">
        <v>0</v>
      </c>
      <c r="D568">
        <v>3.183365</v>
      </c>
    </row>
    <row r="569" spans="1:4">
      <c r="A569" s="16" t="s">
        <v>310</v>
      </c>
      <c r="B569">
        <v>48.537257</v>
      </c>
      <c r="C569">
        <v>7.5</v>
      </c>
      <c r="D569">
        <v>56.037257</v>
      </c>
    </row>
    <row r="570" spans="1:4">
      <c r="A570" s="28" t="s">
        <v>10</v>
      </c>
      <c r="B570">
        <v>48.537257</v>
      </c>
      <c r="C570">
        <v>7.5</v>
      </c>
      <c r="D570">
        <v>56.037257</v>
      </c>
    </row>
    <row r="571" spans="1:4">
      <c r="A571" s="16" t="s">
        <v>311</v>
      </c>
      <c r="B571">
        <v>13.921284</v>
      </c>
      <c r="C571">
        <v>0</v>
      </c>
      <c r="D571">
        <v>13.921284</v>
      </c>
    </row>
    <row r="572" spans="1:4">
      <c r="A572" s="28" t="s">
        <v>10</v>
      </c>
      <c r="B572">
        <v>13.921284</v>
      </c>
      <c r="C572">
        <v>0</v>
      </c>
      <c r="D572">
        <v>13.921284</v>
      </c>
    </row>
    <row r="573" spans="1:4">
      <c r="A573" s="16" t="s">
        <v>312</v>
      </c>
      <c r="B573">
        <v>3.334696</v>
      </c>
      <c r="C573">
        <v>0</v>
      </c>
      <c r="D573">
        <v>3.334696</v>
      </c>
    </row>
    <row r="574" spans="1:4">
      <c r="A574" s="28" t="s">
        <v>10</v>
      </c>
      <c r="B574">
        <v>3.334696</v>
      </c>
      <c r="C574">
        <v>0</v>
      </c>
      <c r="D574">
        <v>3.334696</v>
      </c>
    </row>
    <row r="575" spans="1:4">
      <c r="A575" s="16" t="s">
        <v>313</v>
      </c>
      <c r="B575">
        <v>53.008295</v>
      </c>
      <c r="C575">
        <v>7.5</v>
      </c>
      <c r="D575">
        <v>60.508295</v>
      </c>
    </row>
    <row r="576" spans="1:4">
      <c r="A576" s="28" t="s">
        <v>10</v>
      </c>
      <c r="B576">
        <v>53.008295</v>
      </c>
      <c r="C576">
        <v>7.5</v>
      </c>
      <c r="D576">
        <v>60.508295</v>
      </c>
    </row>
    <row r="577" spans="1:4">
      <c r="A577" s="16" t="s">
        <v>314</v>
      </c>
      <c r="B577">
        <v>0.857906</v>
      </c>
      <c r="C577">
        <v>0</v>
      </c>
      <c r="D577">
        <v>0.857906</v>
      </c>
    </row>
    <row r="578" spans="1:4">
      <c r="A578" s="28" t="s">
        <v>10</v>
      </c>
      <c r="B578">
        <v>0.857906</v>
      </c>
      <c r="C578">
        <v>0</v>
      </c>
      <c r="D578">
        <v>0.857906</v>
      </c>
    </row>
    <row r="579" spans="1:4">
      <c r="A579" s="16" t="s">
        <v>315</v>
      </c>
      <c r="B579">
        <v>0.150052</v>
      </c>
      <c r="C579">
        <v>0</v>
      </c>
      <c r="D579">
        <v>0.150052</v>
      </c>
    </row>
    <row r="580" spans="1:4">
      <c r="A580" s="28" t="s">
        <v>10</v>
      </c>
      <c r="B580">
        <v>0.150052</v>
      </c>
      <c r="C580">
        <v>0</v>
      </c>
      <c r="D580">
        <v>0.150052</v>
      </c>
    </row>
    <row r="581" spans="1:4">
      <c r="A581" s="16" t="s">
        <v>316</v>
      </c>
      <c r="B581">
        <v>3.515504</v>
      </c>
      <c r="C581">
        <v>0</v>
      </c>
      <c r="D581">
        <v>3.515504</v>
      </c>
    </row>
    <row r="582" spans="1:4">
      <c r="A582" s="28" t="s">
        <v>10</v>
      </c>
      <c r="B582">
        <v>3.515504</v>
      </c>
      <c r="C582">
        <v>0</v>
      </c>
      <c r="D582">
        <v>3.515504</v>
      </c>
    </row>
    <row r="583" spans="1:4">
      <c r="A583" s="16" t="s">
        <v>317</v>
      </c>
      <c r="B583">
        <v>3.98197</v>
      </c>
      <c r="C583">
        <v>0</v>
      </c>
      <c r="D583">
        <v>3.98197</v>
      </c>
    </row>
    <row r="584" spans="1:4">
      <c r="A584" s="28" t="s">
        <v>10</v>
      </c>
      <c r="B584">
        <v>3.98197</v>
      </c>
      <c r="C584">
        <v>0</v>
      </c>
      <c r="D584">
        <v>3.98197</v>
      </c>
    </row>
    <row r="585" spans="1:4">
      <c r="A585" s="16" t="s">
        <v>318</v>
      </c>
      <c r="B585">
        <v>4.617876</v>
      </c>
      <c r="C585">
        <v>0</v>
      </c>
      <c r="D585">
        <v>4.617876</v>
      </c>
    </row>
    <row r="586" spans="1:4">
      <c r="A586" s="28" t="s">
        <v>10</v>
      </c>
      <c r="B586">
        <v>4.617876</v>
      </c>
      <c r="C586">
        <v>0</v>
      </c>
      <c r="D586">
        <v>4.617876</v>
      </c>
    </row>
    <row r="587" spans="1:4">
      <c r="A587" s="16" t="s">
        <v>319</v>
      </c>
      <c r="B587">
        <v>216.204592</v>
      </c>
      <c r="C587">
        <v>7.71613</v>
      </c>
      <c r="D587">
        <v>223.920722</v>
      </c>
    </row>
    <row r="588" spans="1:4">
      <c r="A588" s="28" t="s">
        <v>10</v>
      </c>
      <c r="B588">
        <v>216.204592</v>
      </c>
      <c r="C588">
        <v>7.71613</v>
      </c>
      <c r="D588">
        <v>223.920722</v>
      </c>
    </row>
    <row r="589" spans="1:4">
      <c r="A589" s="16" t="s">
        <v>320</v>
      </c>
      <c r="B589">
        <v>0.158906</v>
      </c>
      <c r="C589">
        <v>0</v>
      </c>
      <c r="D589">
        <v>0.158906</v>
      </c>
    </row>
    <row r="590" spans="1:4">
      <c r="A590" s="28" t="s">
        <v>10</v>
      </c>
      <c r="B590">
        <v>0.158906</v>
      </c>
      <c r="C590">
        <v>0</v>
      </c>
      <c r="D590">
        <v>0.158906</v>
      </c>
    </row>
    <row r="591" spans="1:4">
      <c r="A591" s="16" t="s">
        <v>321</v>
      </c>
      <c r="B591">
        <v>28.322752</v>
      </c>
      <c r="C591">
        <v>11.520648</v>
      </c>
      <c r="D591">
        <v>39.8434</v>
      </c>
    </row>
    <row r="592" spans="1:4">
      <c r="A592" s="28" t="s">
        <v>10</v>
      </c>
      <c r="B592">
        <v>28.322752</v>
      </c>
      <c r="C592">
        <v>11.520648</v>
      </c>
      <c r="D592">
        <v>39.8434</v>
      </c>
    </row>
    <row r="593" spans="1:4">
      <c r="A593" s="16" t="s">
        <v>322</v>
      </c>
      <c r="B593">
        <v>178.36074</v>
      </c>
      <c r="C593">
        <v>17.5</v>
      </c>
      <c r="D593">
        <v>195.86074</v>
      </c>
    </row>
    <row r="594" spans="1:4">
      <c r="A594" s="28" t="s">
        <v>10</v>
      </c>
      <c r="B594">
        <v>178.36074</v>
      </c>
      <c r="C594">
        <v>17.5</v>
      </c>
      <c r="D594">
        <v>195.86074</v>
      </c>
    </row>
    <row r="595" spans="1:4">
      <c r="A595" s="16" t="s">
        <v>323</v>
      </c>
      <c r="B595">
        <v>78.488719</v>
      </c>
      <c r="C595">
        <v>3.647994</v>
      </c>
      <c r="D595">
        <v>82.136713</v>
      </c>
    </row>
    <row r="596" spans="1:4">
      <c r="A596" s="28" t="s">
        <v>10</v>
      </c>
      <c r="B596">
        <v>78.488719</v>
      </c>
      <c r="C596">
        <v>3.647994</v>
      </c>
      <c r="D596">
        <v>82.136713</v>
      </c>
    </row>
    <row r="597" spans="1:4">
      <c r="A597" s="16" t="s">
        <v>324</v>
      </c>
      <c r="B597">
        <v>0.695272</v>
      </c>
      <c r="C597">
        <v>0</v>
      </c>
      <c r="D597">
        <v>0.695272</v>
      </c>
    </row>
    <row r="598" spans="1:4">
      <c r="A598" s="28" t="s">
        <v>10</v>
      </c>
      <c r="B598">
        <v>0.695272</v>
      </c>
      <c r="C598">
        <v>0</v>
      </c>
      <c r="D598">
        <v>0.695272</v>
      </c>
    </row>
    <row r="599" spans="1:4">
      <c r="A599" s="16" t="s">
        <v>325</v>
      </c>
      <c r="B599">
        <v>3.41029</v>
      </c>
      <c r="C599">
        <v>5.544712</v>
      </c>
      <c r="D599">
        <v>8.955002</v>
      </c>
    </row>
    <row r="600" spans="1:4">
      <c r="A600" s="28" t="s">
        <v>10</v>
      </c>
      <c r="B600">
        <v>3.41029</v>
      </c>
      <c r="C600">
        <v>5.544712</v>
      </c>
      <c r="D600">
        <v>8.955002</v>
      </c>
    </row>
    <row r="601" spans="1:4">
      <c r="A601" s="16" t="s">
        <v>326</v>
      </c>
      <c r="B601">
        <v>55.087399</v>
      </c>
      <c r="C601">
        <v>7.5</v>
      </c>
      <c r="D601">
        <v>62.587399</v>
      </c>
    </row>
    <row r="602" spans="1:4">
      <c r="A602" s="28" t="s">
        <v>10</v>
      </c>
      <c r="B602">
        <v>55.087399</v>
      </c>
      <c r="C602">
        <v>7.5</v>
      </c>
      <c r="D602">
        <v>62.587399</v>
      </c>
    </row>
    <row r="603" spans="1:4">
      <c r="A603" s="16" t="s">
        <v>327</v>
      </c>
      <c r="B603">
        <v>2.3533</v>
      </c>
      <c r="C603">
        <v>0</v>
      </c>
      <c r="D603">
        <v>2.3533</v>
      </c>
    </row>
    <row r="604" spans="1:4">
      <c r="A604" s="28" t="s">
        <v>10</v>
      </c>
      <c r="B604">
        <v>2.3533</v>
      </c>
      <c r="C604">
        <v>0</v>
      </c>
      <c r="D604">
        <v>2.3533</v>
      </c>
    </row>
    <row r="605" spans="1:4">
      <c r="A605" s="16" t="s">
        <v>328</v>
      </c>
      <c r="B605">
        <v>1.50984</v>
      </c>
      <c r="C605">
        <v>0</v>
      </c>
      <c r="D605">
        <v>1.50984</v>
      </c>
    </row>
    <row r="606" spans="1:4">
      <c r="A606" s="28" t="s">
        <v>10</v>
      </c>
      <c r="B606">
        <v>1.50984</v>
      </c>
      <c r="C606">
        <v>0</v>
      </c>
      <c r="D606">
        <v>1.50984</v>
      </c>
    </row>
    <row r="607" spans="1:4">
      <c r="A607" s="16" t="s">
        <v>329</v>
      </c>
      <c r="B607">
        <v>0.104853</v>
      </c>
      <c r="C607">
        <v>10</v>
      </c>
      <c r="D607">
        <v>10.104853</v>
      </c>
    </row>
    <row r="608" spans="1:4">
      <c r="A608" s="28" t="s">
        <v>10</v>
      </c>
      <c r="B608">
        <v>0.104853</v>
      </c>
      <c r="C608">
        <v>10</v>
      </c>
      <c r="D608">
        <v>10.104853</v>
      </c>
    </row>
    <row r="609" spans="1:4">
      <c r="A609" s="16" t="s">
        <v>330</v>
      </c>
      <c r="B609">
        <v>0.029824</v>
      </c>
      <c r="C609">
        <v>0</v>
      </c>
      <c r="D609">
        <v>0.029824</v>
      </c>
    </row>
    <row r="610" spans="1:4">
      <c r="A610" s="28" t="s">
        <v>10</v>
      </c>
      <c r="B610">
        <v>0.029824</v>
      </c>
      <c r="C610">
        <v>0</v>
      </c>
      <c r="D610">
        <v>0.029824</v>
      </c>
    </row>
    <row r="611" spans="1:4">
      <c r="A611" s="16" t="s">
        <v>331</v>
      </c>
      <c r="B611">
        <v>32.854033</v>
      </c>
      <c r="C611">
        <v>17.5</v>
      </c>
      <c r="D611">
        <v>50.354033</v>
      </c>
    </row>
    <row r="612" spans="1:4">
      <c r="A612" s="28" t="s">
        <v>10</v>
      </c>
      <c r="B612">
        <v>32.854033</v>
      </c>
      <c r="C612">
        <v>17.5</v>
      </c>
      <c r="D612">
        <v>50.354033</v>
      </c>
    </row>
    <row r="613" spans="1:4">
      <c r="A613" s="16" t="s">
        <v>332</v>
      </c>
      <c r="B613">
        <v>6.35158</v>
      </c>
      <c r="C613">
        <v>0</v>
      </c>
      <c r="D613">
        <v>6.35158</v>
      </c>
    </row>
    <row r="614" spans="1:4">
      <c r="A614" s="28" t="s">
        <v>10</v>
      </c>
      <c r="B614">
        <v>6.35158</v>
      </c>
      <c r="C614">
        <v>0</v>
      </c>
      <c r="D614">
        <v>6.35158</v>
      </c>
    </row>
    <row r="615" spans="1:4">
      <c r="A615" s="16" t="s">
        <v>333</v>
      </c>
      <c r="B615">
        <v>0.005592</v>
      </c>
      <c r="C615">
        <v>0.94806</v>
      </c>
      <c r="D615">
        <v>0.953652</v>
      </c>
    </row>
    <row r="616" spans="1:4">
      <c r="A616" s="28" t="s">
        <v>10</v>
      </c>
      <c r="B616">
        <v>0.005592</v>
      </c>
      <c r="C616">
        <v>0.94806</v>
      </c>
      <c r="D616">
        <v>0.953652</v>
      </c>
    </row>
    <row r="617" spans="1:4">
      <c r="A617" s="16" t="s">
        <v>334</v>
      </c>
      <c r="B617">
        <v>10.094924</v>
      </c>
      <c r="C617">
        <v>0</v>
      </c>
      <c r="D617">
        <v>10.094924</v>
      </c>
    </row>
    <row r="618" spans="1:4">
      <c r="A618" s="28" t="s">
        <v>10</v>
      </c>
      <c r="B618">
        <v>10.094924</v>
      </c>
      <c r="C618">
        <v>0</v>
      </c>
      <c r="D618">
        <v>10.094924</v>
      </c>
    </row>
    <row r="619" spans="1:4">
      <c r="A619" s="16" t="s">
        <v>335</v>
      </c>
      <c r="B619">
        <v>0.156576</v>
      </c>
      <c r="C619">
        <v>0</v>
      </c>
      <c r="D619">
        <v>0.156576</v>
      </c>
    </row>
    <row r="620" spans="1:4">
      <c r="A620" s="28" t="s">
        <v>10</v>
      </c>
      <c r="B620">
        <v>0.156576</v>
      </c>
      <c r="C620">
        <v>0</v>
      </c>
      <c r="D620">
        <v>0.156576</v>
      </c>
    </row>
    <row r="621" spans="1:4">
      <c r="A621" s="16" t="s">
        <v>336</v>
      </c>
      <c r="B621">
        <v>0.161702</v>
      </c>
      <c r="C621">
        <v>0</v>
      </c>
      <c r="D621">
        <v>0.161702</v>
      </c>
    </row>
    <row r="622" spans="1:4">
      <c r="A622" s="28" t="s">
        <v>10</v>
      </c>
      <c r="B622">
        <v>0.161702</v>
      </c>
      <c r="C622">
        <v>0</v>
      </c>
      <c r="D622">
        <v>0.161702</v>
      </c>
    </row>
    <row r="623" spans="1:4">
      <c r="A623" s="16" t="s">
        <v>337</v>
      </c>
      <c r="B623">
        <v>224.449404</v>
      </c>
      <c r="C623">
        <v>12.127996</v>
      </c>
      <c r="D623">
        <v>236.5774</v>
      </c>
    </row>
    <row r="624" spans="1:4">
      <c r="A624" s="28" t="s">
        <v>10</v>
      </c>
      <c r="B624">
        <v>224.449404</v>
      </c>
      <c r="C624">
        <v>12.127996</v>
      </c>
      <c r="D624">
        <v>236.5774</v>
      </c>
    </row>
    <row r="625" spans="1:4">
      <c r="A625" s="16" t="s">
        <v>338</v>
      </c>
      <c r="B625">
        <v>60.036178</v>
      </c>
      <c r="C625">
        <v>0</v>
      </c>
      <c r="D625">
        <v>60.036178</v>
      </c>
    </row>
    <row r="626" spans="1:4">
      <c r="A626" s="28" t="s">
        <v>10</v>
      </c>
      <c r="B626">
        <v>60.036178</v>
      </c>
      <c r="C626">
        <v>0</v>
      </c>
      <c r="D626">
        <v>60.036178</v>
      </c>
    </row>
    <row r="627" spans="1:4">
      <c r="A627" s="16" t="s">
        <v>339</v>
      </c>
      <c r="B627">
        <v>2.509166</v>
      </c>
      <c r="C627">
        <v>1.631388</v>
      </c>
      <c r="D627">
        <v>4.140554</v>
      </c>
    </row>
    <row r="628" spans="1:4">
      <c r="A628" s="28" t="s">
        <v>10</v>
      </c>
      <c r="B628">
        <v>2.509166</v>
      </c>
      <c r="C628">
        <v>1.631388</v>
      </c>
      <c r="D628">
        <v>4.140554</v>
      </c>
    </row>
    <row r="629" spans="1:4">
      <c r="A629" s="16" t="s">
        <v>340</v>
      </c>
      <c r="B629">
        <v>4.209242</v>
      </c>
      <c r="C629">
        <v>1.978648</v>
      </c>
      <c r="D629">
        <v>6.18789</v>
      </c>
    </row>
    <row r="630" spans="1:4">
      <c r="A630" s="28" t="s">
        <v>10</v>
      </c>
      <c r="B630">
        <v>4.209242</v>
      </c>
      <c r="C630">
        <v>1.978648</v>
      </c>
      <c r="D630">
        <v>6.18789</v>
      </c>
    </row>
    <row r="631" spans="1:4">
      <c r="A631" s="16" t="s">
        <v>341</v>
      </c>
      <c r="B631">
        <v>0.331038</v>
      </c>
      <c r="C631">
        <v>0</v>
      </c>
      <c r="D631">
        <v>0.331038</v>
      </c>
    </row>
    <row r="632" spans="1:4">
      <c r="A632" s="28" t="s">
        <v>10</v>
      </c>
      <c r="B632">
        <v>0.331038</v>
      </c>
      <c r="C632">
        <v>0</v>
      </c>
      <c r="D632">
        <v>0.331038</v>
      </c>
    </row>
    <row r="633" spans="1:4">
      <c r="A633" s="16" t="s">
        <v>342</v>
      </c>
      <c r="B633">
        <v>0.058716</v>
      </c>
      <c r="C633">
        <v>0</v>
      </c>
      <c r="D633">
        <v>0.058716</v>
      </c>
    </row>
    <row r="634" spans="1:4">
      <c r="A634" s="28" t="s">
        <v>10</v>
      </c>
      <c r="B634">
        <v>0.058716</v>
      </c>
      <c r="C634">
        <v>0</v>
      </c>
      <c r="D634">
        <v>0.058716</v>
      </c>
    </row>
    <row r="635" spans="1:4">
      <c r="A635" s="16" t="s">
        <v>343</v>
      </c>
      <c r="B635">
        <v>0.011184</v>
      </c>
      <c r="C635">
        <v>1.973664</v>
      </c>
      <c r="D635">
        <v>1.984848</v>
      </c>
    </row>
    <row r="636" spans="1:4">
      <c r="A636" s="28" t="s">
        <v>10</v>
      </c>
      <c r="B636">
        <v>0.011184</v>
      </c>
      <c r="C636">
        <v>1.973664</v>
      </c>
      <c r="D636">
        <v>1.984848</v>
      </c>
    </row>
    <row r="637" spans="1:4">
      <c r="A637" s="16" t="s">
        <v>344</v>
      </c>
      <c r="B637">
        <v>0.015844</v>
      </c>
      <c r="C637">
        <v>0</v>
      </c>
      <c r="D637">
        <v>0.015844</v>
      </c>
    </row>
    <row r="638" spans="1:4">
      <c r="A638" s="28" t="s">
        <v>10</v>
      </c>
      <c r="B638">
        <v>0.015844</v>
      </c>
      <c r="C638">
        <v>0</v>
      </c>
      <c r="D638">
        <v>0.015844</v>
      </c>
    </row>
    <row r="639" spans="1:4">
      <c r="A639" s="16" t="s">
        <v>345</v>
      </c>
      <c r="B639">
        <v>28.663194</v>
      </c>
      <c r="C639">
        <v>0</v>
      </c>
      <c r="D639">
        <v>28.663194</v>
      </c>
    </row>
    <row r="640" spans="1:4">
      <c r="A640" s="28" t="s">
        <v>10</v>
      </c>
      <c r="B640">
        <v>28.663194</v>
      </c>
      <c r="C640">
        <v>0</v>
      </c>
      <c r="D640">
        <v>28.663194</v>
      </c>
    </row>
    <row r="641" spans="1:4">
      <c r="A641" s="16" t="s">
        <v>346</v>
      </c>
      <c r="B641">
        <v>53.046892</v>
      </c>
      <c r="C641">
        <v>7.495303</v>
      </c>
      <c r="D641">
        <v>60.542195</v>
      </c>
    </row>
    <row r="642" spans="1:4">
      <c r="A642" s="28" t="s">
        <v>10</v>
      </c>
      <c r="B642">
        <v>53.046892</v>
      </c>
      <c r="C642">
        <v>7.495303</v>
      </c>
      <c r="D642">
        <v>60.542195</v>
      </c>
    </row>
    <row r="643" spans="1:4">
      <c r="A643" s="16" t="s">
        <v>347</v>
      </c>
      <c r="B643">
        <v>0.382586</v>
      </c>
      <c r="C643">
        <v>0</v>
      </c>
      <c r="D643">
        <v>0.382586</v>
      </c>
    </row>
    <row r="644" spans="1:4">
      <c r="A644" s="28" t="s">
        <v>10</v>
      </c>
      <c r="B644">
        <v>0.382586</v>
      </c>
      <c r="C644">
        <v>0</v>
      </c>
      <c r="D644">
        <v>0.382586</v>
      </c>
    </row>
    <row r="645" spans="1:4">
      <c r="A645" s="16" t="s">
        <v>348</v>
      </c>
      <c r="B645">
        <v>10.27297</v>
      </c>
      <c r="C645">
        <v>2.98262</v>
      </c>
      <c r="D645">
        <v>13.25559</v>
      </c>
    </row>
    <row r="646" spans="1:4">
      <c r="A646" s="28" t="s">
        <v>10</v>
      </c>
      <c r="B646">
        <v>10.27297</v>
      </c>
      <c r="C646">
        <v>2.98262</v>
      </c>
      <c r="D646">
        <v>13.25559</v>
      </c>
    </row>
    <row r="647" spans="1:4">
      <c r="A647" s="16" t="s">
        <v>349</v>
      </c>
      <c r="B647">
        <v>128.736376</v>
      </c>
      <c r="C647">
        <v>0</v>
      </c>
      <c r="D647">
        <v>128.736376</v>
      </c>
    </row>
    <row r="648" spans="1:4">
      <c r="A648" s="28" t="s">
        <v>10</v>
      </c>
      <c r="B648">
        <v>128.736376</v>
      </c>
      <c r="C648">
        <v>0</v>
      </c>
      <c r="D648">
        <v>128.736376</v>
      </c>
    </row>
    <row r="649" spans="1:4">
      <c r="A649" s="16" t="s">
        <v>350</v>
      </c>
      <c r="B649">
        <v>10.090764</v>
      </c>
      <c r="C649">
        <v>0</v>
      </c>
      <c r="D649">
        <v>10.090764</v>
      </c>
    </row>
    <row r="650" spans="1:4">
      <c r="A650" s="28" t="s">
        <v>10</v>
      </c>
      <c r="B650">
        <v>10.090764</v>
      </c>
      <c r="C650">
        <v>0</v>
      </c>
      <c r="D650">
        <v>10.090764</v>
      </c>
    </row>
    <row r="651" spans="1:4">
      <c r="A651" s="16" t="s">
        <v>351</v>
      </c>
      <c r="B651">
        <v>350.051436</v>
      </c>
      <c r="C651">
        <v>4.684204</v>
      </c>
      <c r="D651">
        <v>354.73564</v>
      </c>
    </row>
    <row r="652" spans="1:4">
      <c r="A652" s="28" t="s">
        <v>10</v>
      </c>
      <c r="B652">
        <v>350.051436</v>
      </c>
      <c r="C652">
        <v>4.684204</v>
      </c>
      <c r="D652">
        <v>354.73564</v>
      </c>
    </row>
    <row r="653" spans="1:4">
      <c r="A653" s="16" t="s">
        <v>352</v>
      </c>
      <c r="B653">
        <v>4.479192</v>
      </c>
      <c r="C653">
        <v>0</v>
      </c>
      <c r="D653">
        <v>4.479192</v>
      </c>
    </row>
    <row r="654" spans="1:4">
      <c r="A654" s="28" t="s">
        <v>10</v>
      </c>
      <c r="B654">
        <v>4.479192</v>
      </c>
      <c r="C654">
        <v>0</v>
      </c>
      <c r="D654">
        <v>4.479192</v>
      </c>
    </row>
    <row r="655" spans="1:4">
      <c r="A655" s="16" t="s">
        <v>353</v>
      </c>
      <c r="B655">
        <v>13.069966</v>
      </c>
      <c r="C655">
        <v>0</v>
      </c>
      <c r="D655">
        <v>13.069966</v>
      </c>
    </row>
    <row r="656" spans="1:4">
      <c r="A656" s="28" t="s">
        <v>10</v>
      </c>
      <c r="B656">
        <v>13.069966</v>
      </c>
      <c r="C656">
        <v>0</v>
      </c>
      <c r="D656">
        <v>13.069966</v>
      </c>
    </row>
    <row r="657" spans="1:4">
      <c r="A657" s="16" t="s">
        <v>354</v>
      </c>
      <c r="B657">
        <v>0</v>
      </c>
      <c r="C657">
        <v>0.00932</v>
      </c>
      <c r="D657">
        <v>0.00932</v>
      </c>
    </row>
    <row r="658" spans="1:4">
      <c r="A658" s="28" t="s">
        <v>10</v>
      </c>
      <c r="B658">
        <v>0</v>
      </c>
      <c r="C658">
        <v>0.00932</v>
      </c>
      <c r="D658">
        <v>0.00932</v>
      </c>
    </row>
    <row r="659" spans="1:4">
      <c r="A659" s="16" t="s">
        <v>355</v>
      </c>
      <c r="B659">
        <v>40.147298</v>
      </c>
      <c r="C659">
        <v>1.9953</v>
      </c>
      <c r="D659">
        <v>42.142598</v>
      </c>
    </row>
    <row r="660" spans="1:4">
      <c r="A660" s="28" t="s">
        <v>10</v>
      </c>
      <c r="B660">
        <v>40.147298</v>
      </c>
      <c r="C660">
        <v>1.9953</v>
      </c>
      <c r="D660">
        <v>42.142598</v>
      </c>
    </row>
    <row r="661" spans="1:4">
      <c r="A661" s="16" t="s">
        <v>356</v>
      </c>
      <c r="B661">
        <v>80.578856</v>
      </c>
      <c r="C661">
        <v>0.0694</v>
      </c>
      <c r="D661">
        <v>80.648256</v>
      </c>
    </row>
    <row r="662" spans="1:4">
      <c r="A662" s="28" t="s">
        <v>10</v>
      </c>
      <c r="B662">
        <v>80.578856</v>
      </c>
      <c r="C662">
        <v>0.0694</v>
      </c>
      <c r="D662">
        <v>80.648256</v>
      </c>
    </row>
    <row r="663" spans="1:4">
      <c r="A663" s="16" t="s">
        <v>357</v>
      </c>
      <c r="B663">
        <v>0</v>
      </c>
      <c r="C663">
        <v>0.022372</v>
      </c>
      <c r="D663">
        <v>0.022372</v>
      </c>
    </row>
    <row r="664" spans="1:4">
      <c r="A664" s="28" t="s">
        <v>10</v>
      </c>
      <c r="B664">
        <v>0</v>
      </c>
      <c r="C664">
        <v>0.022372</v>
      </c>
      <c r="D664">
        <v>0.022372</v>
      </c>
    </row>
    <row r="665" spans="1:4">
      <c r="A665" s="16" t="s">
        <v>358</v>
      </c>
      <c r="B665">
        <v>6.61487</v>
      </c>
      <c r="C665">
        <v>0</v>
      </c>
      <c r="D665">
        <v>6.61487</v>
      </c>
    </row>
    <row r="666" spans="1:4">
      <c r="A666" s="28" t="s">
        <v>10</v>
      </c>
      <c r="B666">
        <v>6.61487</v>
      </c>
      <c r="C666">
        <v>0</v>
      </c>
      <c r="D666">
        <v>6.61487</v>
      </c>
    </row>
    <row r="667" spans="1:4">
      <c r="A667" s="16" t="s">
        <v>359</v>
      </c>
      <c r="B667">
        <v>0.047532</v>
      </c>
      <c r="C667">
        <v>0</v>
      </c>
      <c r="D667">
        <v>0.047532</v>
      </c>
    </row>
    <row r="668" spans="1:4">
      <c r="A668" s="28" t="s">
        <v>10</v>
      </c>
      <c r="B668">
        <v>0.047532</v>
      </c>
      <c r="C668">
        <v>0</v>
      </c>
      <c r="D668">
        <v>0.047532</v>
      </c>
    </row>
    <row r="669" spans="1:4">
      <c r="A669" s="16" t="s">
        <v>360</v>
      </c>
      <c r="B669">
        <v>0.191246</v>
      </c>
      <c r="C669">
        <v>10</v>
      </c>
      <c r="D669">
        <v>10.191246</v>
      </c>
    </row>
    <row r="670" spans="1:4">
      <c r="A670" s="28" t="s">
        <v>10</v>
      </c>
      <c r="B670">
        <v>0.191246</v>
      </c>
      <c r="C670">
        <v>10</v>
      </c>
      <c r="D670">
        <v>10.191246</v>
      </c>
    </row>
    <row r="671" spans="1:4">
      <c r="A671" s="16" t="s">
        <v>361</v>
      </c>
      <c r="B671">
        <v>115.250654</v>
      </c>
      <c r="C671">
        <v>4.357419</v>
      </c>
      <c r="D671">
        <v>119.608073</v>
      </c>
    </row>
    <row r="672" spans="1:4">
      <c r="A672" s="28" t="s">
        <v>10</v>
      </c>
      <c r="B672">
        <v>115.250654</v>
      </c>
      <c r="C672">
        <v>4.357419</v>
      </c>
      <c r="D672">
        <v>119.608073</v>
      </c>
    </row>
    <row r="673" spans="1:4">
      <c r="A673" s="16" t="s">
        <v>362</v>
      </c>
      <c r="B673">
        <v>0.254902</v>
      </c>
      <c r="C673">
        <v>0</v>
      </c>
      <c r="D673">
        <v>0.254902</v>
      </c>
    </row>
    <row r="674" spans="1:4">
      <c r="A674" s="28" t="s">
        <v>10</v>
      </c>
      <c r="B674">
        <v>0.254902</v>
      </c>
      <c r="C674">
        <v>0</v>
      </c>
      <c r="D674">
        <v>0.254902</v>
      </c>
    </row>
    <row r="675" spans="1:4">
      <c r="A675" s="16" t="s">
        <v>363</v>
      </c>
      <c r="B675">
        <v>13.610736</v>
      </c>
      <c r="C675">
        <v>151.206672</v>
      </c>
      <c r="D675">
        <v>164.817408</v>
      </c>
    </row>
    <row r="676" spans="1:4">
      <c r="A676" s="28" t="s">
        <v>10</v>
      </c>
      <c r="B676">
        <v>13.610736</v>
      </c>
      <c r="C676">
        <v>151.206672</v>
      </c>
      <c r="D676">
        <v>164.817408</v>
      </c>
    </row>
    <row r="677" spans="1:4">
      <c r="A677" s="16" t="s">
        <v>364</v>
      </c>
      <c r="B677">
        <v>0.17475</v>
      </c>
      <c r="C677">
        <v>0</v>
      </c>
      <c r="D677">
        <v>0.17475</v>
      </c>
    </row>
    <row r="678" spans="1:4">
      <c r="A678" s="28" t="s">
        <v>10</v>
      </c>
      <c r="B678">
        <v>0.17475</v>
      </c>
      <c r="C678">
        <v>0</v>
      </c>
      <c r="D678">
        <v>0.17475</v>
      </c>
    </row>
    <row r="679" spans="1:4">
      <c r="A679" s="16" t="s">
        <v>365</v>
      </c>
      <c r="B679">
        <v>0.18407</v>
      </c>
      <c r="C679">
        <v>0</v>
      </c>
      <c r="D679">
        <v>0.18407</v>
      </c>
    </row>
    <row r="680" spans="1:4">
      <c r="A680" s="28" t="s">
        <v>10</v>
      </c>
      <c r="B680">
        <v>0.18407</v>
      </c>
      <c r="C680">
        <v>0</v>
      </c>
      <c r="D680">
        <v>0.18407</v>
      </c>
    </row>
    <row r="681" spans="1:4">
      <c r="A681" s="16" t="s">
        <v>366</v>
      </c>
      <c r="B681">
        <v>1.441804</v>
      </c>
      <c r="C681">
        <v>0</v>
      </c>
      <c r="D681">
        <v>1.441804</v>
      </c>
    </row>
    <row r="682" spans="1:4">
      <c r="A682" s="28" t="s">
        <v>10</v>
      </c>
      <c r="B682">
        <v>1.441804</v>
      </c>
      <c r="C682">
        <v>0</v>
      </c>
      <c r="D682">
        <v>1.441804</v>
      </c>
    </row>
    <row r="683" spans="1:4">
      <c r="A683" s="16" t="s">
        <v>367</v>
      </c>
      <c r="B683">
        <v>3.349608</v>
      </c>
      <c r="C683">
        <v>0</v>
      </c>
      <c r="D683">
        <v>3.349608</v>
      </c>
    </row>
    <row r="684" spans="1:4">
      <c r="A684" s="28" t="s">
        <v>10</v>
      </c>
      <c r="B684">
        <v>3.349608</v>
      </c>
      <c r="C684">
        <v>0</v>
      </c>
      <c r="D684">
        <v>3.349608</v>
      </c>
    </row>
    <row r="685" spans="1:4">
      <c r="A685" s="16" t="s">
        <v>368</v>
      </c>
      <c r="B685">
        <v>246.471588</v>
      </c>
      <c r="C685">
        <v>0</v>
      </c>
      <c r="D685">
        <v>246.471588</v>
      </c>
    </row>
    <row r="686" spans="1:4">
      <c r="A686" s="28" t="s">
        <v>10</v>
      </c>
      <c r="B686">
        <v>246.471588</v>
      </c>
      <c r="C686">
        <v>0</v>
      </c>
      <c r="D686">
        <v>246.471588</v>
      </c>
    </row>
    <row r="687" spans="1:4">
      <c r="A687" s="16" t="s">
        <v>369</v>
      </c>
      <c r="B687">
        <v>7.79385</v>
      </c>
      <c r="C687">
        <v>2.523576</v>
      </c>
      <c r="D687">
        <v>10.317426</v>
      </c>
    </row>
    <row r="688" spans="1:4">
      <c r="A688" s="28" t="s">
        <v>10</v>
      </c>
      <c r="B688">
        <v>7.79385</v>
      </c>
      <c r="C688">
        <v>2.523576</v>
      </c>
      <c r="D688">
        <v>10.317426</v>
      </c>
    </row>
    <row r="689" spans="1:4">
      <c r="A689" s="16" t="s">
        <v>370</v>
      </c>
      <c r="B689">
        <v>3539.835396</v>
      </c>
      <c r="C689">
        <v>0</v>
      </c>
      <c r="D689">
        <v>3539.835396</v>
      </c>
    </row>
    <row r="690" spans="1:4">
      <c r="A690" s="28" t="s">
        <v>10</v>
      </c>
      <c r="B690">
        <v>3539.835396</v>
      </c>
      <c r="C690">
        <v>0</v>
      </c>
      <c r="D690">
        <v>3539.835396</v>
      </c>
    </row>
    <row r="691" spans="1:4">
      <c r="A691" s="16" t="s">
        <v>371</v>
      </c>
      <c r="B691">
        <v>0.158906</v>
      </c>
      <c r="C691">
        <v>0</v>
      </c>
      <c r="D691">
        <v>0.158906</v>
      </c>
    </row>
    <row r="692" spans="1:4">
      <c r="A692" s="28" t="s">
        <v>10</v>
      </c>
      <c r="B692">
        <v>0.158906</v>
      </c>
      <c r="C692">
        <v>0</v>
      </c>
      <c r="D692">
        <v>0.158906</v>
      </c>
    </row>
    <row r="693" spans="1:4">
      <c r="A693" s="16" t="s">
        <v>372</v>
      </c>
      <c r="B693">
        <v>1.9805</v>
      </c>
      <c r="C693">
        <v>0</v>
      </c>
      <c r="D693">
        <v>1.9805</v>
      </c>
    </row>
    <row r="694" spans="1:4">
      <c r="A694" s="28" t="s">
        <v>10</v>
      </c>
      <c r="B694">
        <v>1.9805</v>
      </c>
      <c r="C694">
        <v>0</v>
      </c>
      <c r="D694">
        <v>1.9805</v>
      </c>
    </row>
    <row r="695" spans="1:4">
      <c r="A695" s="16" t="s">
        <v>373</v>
      </c>
      <c r="B695">
        <v>0.006608</v>
      </c>
      <c r="C695">
        <v>1.559992</v>
      </c>
      <c r="D695">
        <v>1.5666</v>
      </c>
    </row>
    <row r="696" spans="1:4">
      <c r="A696" s="28" t="s">
        <v>10</v>
      </c>
      <c r="B696">
        <v>0.006608</v>
      </c>
      <c r="C696">
        <v>1.559992</v>
      </c>
      <c r="D696">
        <v>1.5666</v>
      </c>
    </row>
    <row r="697" spans="1:4">
      <c r="A697" s="16" t="s">
        <v>374</v>
      </c>
      <c r="B697">
        <v>0.600674</v>
      </c>
      <c r="C697">
        <v>0</v>
      </c>
      <c r="D697">
        <v>0.600674</v>
      </c>
    </row>
    <row r="698" spans="1:4">
      <c r="A698" s="28" t="s">
        <v>10</v>
      </c>
      <c r="B698">
        <v>0.600674</v>
      </c>
      <c r="C698">
        <v>0</v>
      </c>
      <c r="D698">
        <v>0.600674</v>
      </c>
    </row>
    <row r="699" spans="1:4">
      <c r="A699" s="16" t="s">
        <v>375</v>
      </c>
      <c r="B699">
        <v>1.466036</v>
      </c>
      <c r="C699">
        <v>2.583048</v>
      </c>
      <c r="D699">
        <v>4.049084</v>
      </c>
    </row>
    <row r="700" spans="1:4">
      <c r="A700" s="28" t="s">
        <v>10</v>
      </c>
      <c r="B700">
        <v>1.466036</v>
      </c>
      <c r="C700">
        <v>2.583048</v>
      </c>
      <c r="D700">
        <v>4.049084</v>
      </c>
    </row>
    <row r="701" spans="1:4">
      <c r="A701" s="16" t="s">
        <v>376</v>
      </c>
      <c r="B701">
        <v>0.066172</v>
      </c>
      <c r="C701">
        <v>0</v>
      </c>
      <c r="D701">
        <v>0.066172</v>
      </c>
    </row>
    <row r="702" spans="1:4">
      <c r="A702" s="28" t="s">
        <v>10</v>
      </c>
      <c r="B702">
        <v>0.066172</v>
      </c>
      <c r="C702">
        <v>0</v>
      </c>
      <c r="D702">
        <v>0.066172</v>
      </c>
    </row>
    <row r="703" spans="1:4">
      <c r="A703" s="16" t="s">
        <v>377</v>
      </c>
      <c r="B703">
        <v>0.141198</v>
      </c>
      <c r="C703">
        <v>0</v>
      </c>
      <c r="D703">
        <v>0.141198</v>
      </c>
    </row>
    <row r="704" spans="1:4">
      <c r="A704" s="28" t="s">
        <v>10</v>
      </c>
      <c r="B704">
        <v>0.141198</v>
      </c>
      <c r="C704">
        <v>0</v>
      </c>
      <c r="D704">
        <v>0.141198</v>
      </c>
    </row>
    <row r="705" spans="1:4">
      <c r="A705" s="16" t="s">
        <v>378</v>
      </c>
      <c r="B705">
        <v>4.860846</v>
      </c>
      <c r="C705">
        <v>0</v>
      </c>
      <c r="D705">
        <v>4.860846</v>
      </c>
    </row>
    <row r="706" spans="1:4">
      <c r="A706" s="28" t="s">
        <v>10</v>
      </c>
      <c r="B706">
        <v>4.860846</v>
      </c>
      <c r="C706">
        <v>0</v>
      </c>
      <c r="D706">
        <v>4.860846</v>
      </c>
    </row>
    <row r="707" spans="1:4">
      <c r="A707" s="16" t="s">
        <v>379</v>
      </c>
      <c r="B707">
        <v>0</v>
      </c>
      <c r="C707">
        <v>84.927698</v>
      </c>
      <c r="D707">
        <v>84.927698</v>
      </c>
    </row>
    <row r="708" spans="1:4">
      <c r="A708" s="28" t="s">
        <v>10</v>
      </c>
      <c r="B708">
        <v>0</v>
      </c>
      <c r="C708">
        <v>84.927698</v>
      </c>
      <c r="D708">
        <v>84.927698</v>
      </c>
    </row>
    <row r="709" spans="1:4">
      <c r="A709" s="16" t="s">
        <v>380</v>
      </c>
      <c r="B709">
        <v>41.928654</v>
      </c>
      <c r="C709">
        <v>0</v>
      </c>
      <c r="D709">
        <v>41.928654</v>
      </c>
    </row>
    <row r="710" spans="1:4">
      <c r="A710" s="28" t="s">
        <v>10</v>
      </c>
      <c r="B710">
        <v>41.928654</v>
      </c>
      <c r="C710">
        <v>0</v>
      </c>
      <c r="D710">
        <v>41.928654</v>
      </c>
    </row>
    <row r="711" spans="1:4">
      <c r="A711" s="16" t="s">
        <v>381</v>
      </c>
      <c r="B711">
        <v>1.030792</v>
      </c>
      <c r="C711">
        <v>0</v>
      </c>
      <c r="D711">
        <v>1.030792</v>
      </c>
    </row>
    <row r="712" spans="1:4">
      <c r="A712" s="28" t="s">
        <v>10</v>
      </c>
      <c r="B712">
        <v>1.030792</v>
      </c>
      <c r="C712">
        <v>0</v>
      </c>
      <c r="D712">
        <v>1.030792</v>
      </c>
    </row>
    <row r="713" spans="1:4">
      <c r="A713" s="16" t="s">
        <v>382</v>
      </c>
      <c r="B713">
        <v>0.055118</v>
      </c>
      <c r="C713">
        <v>0</v>
      </c>
      <c r="D713">
        <v>0.055118</v>
      </c>
    </row>
    <row r="714" spans="1:4">
      <c r="A714" s="28" t="s">
        <v>10</v>
      </c>
      <c r="B714">
        <v>0.055118</v>
      </c>
      <c r="C714">
        <v>0</v>
      </c>
      <c r="D714">
        <v>0.055118</v>
      </c>
    </row>
    <row r="715" spans="1:4">
      <c r="A715" s="16" t="s">
        <v>383</v>
      </c>
      <c r="B715">
        <v>0.262358</v>
      </c>
      <c r="C715">
        <v>0</v>
      </c>
      <c r="D715">
        <v>0.262358</v>
      </c>
    </row>
    <row r="716" spans="1:4">
      <c r="A716" s="28" t="s">
        <v>10</v>
      </c>
      <c r="B716">
        <v>0.262358</v>
      </c>
      <c r="C716">
        <v>0</v>
      </c>
      <c r="D716">
        <v>0.262358</v>
      </c>
    </row>
    <row r="717" spans="1:4">
      <c r="A717" s="16" t="s">
        <v>384</v>
      </c>
      <c r="B717">
        <v>215.19</v>
      </c>
      <c r="C717">
        <v>8.501004</v>
      </c>
      <c r="D717">
        <v>223.691004</v>
      </c>
    </row>
    <row r="718" spans="1:4">
      <c r="A718" s="28" t="s">
        <v>10</v>
      </c>
      <c r="B718">
        <v>215.19</v>
      </c>
      <c r="C718">
        <v>8.501004</v>
      </c>
      <c r="D718">
        <v>223.691004</v>
      </c>
    </row>
    <row r="719" spans="1:4">
      <c r="A719" s="16" t="s">
        <v>385</v>
      </c>
      <c r="B719">
        <v>0.168391</v>
      </c>
      <c r="C719">
        <v>135.962941</v>
      </c>
      <c r="D719">
        <v>136.131332</v>
      </c>
    </row>
    <row r="720" spans="1:4">
      <c r="A720" s="28" t="s">
        <v>10</v>
      </c>
      <c r="B720">
        <v>0.168391</v>
      </c>
      <c r="C720">
        <v>135.962941</v>
      </c>
      <c r="D720">
        <v>136.131332</v>
      </c>
    </row>
    <row r="721" spans="1:4">
      <c r="A721" s="16" t="s">
        <v>386</v>
      </c>
      <c r="B721">
        <v>0.177546</v>
      </c>
      <c r="C721">
        <v>0</v>
      </c>
      <c r="D721">
        <v>0.177546</v>
      </c>
    </row>
    <row r="722" spans="1:4">
      <c r="A722" s="28" t="s">
        <v>10</v>
      </c>
      <c r="B722">
        <v>0.177546</v>
      </c>
      <c r="C722">
        <v>0</v>
      </c>
      <c r="D722">
        <v>0.177546</v>
      </c>
    </row>
    <row r="723" spans="1:4">
      <c r="A723" s="16" t="s">
        <v>387</v>
      </c>
      <c r="B723">
        <v>31.731678</v>
      </c>
      <c r="C723">
        <v>0</v>
      </c>
      <c r="D723">
        <v>31.731678</v>
      </c>
    </row>
    <row r="724" spans="1:4">
      <c r="A724" s="28" t="s">
        <v>10</v>
      </c>
      <c r="B724">
        <v>31.731678</v>
      </c>
      <c r="C724">
        <v>0</v>
      </c>
      <c r="D724">
        <v>31.731678</v>
      </c>
    </row>
    <row r="725" spans="1:4">
      <c r="A725" s="16" t="s">
        <v>388</v>
      </c>
      <c r="B725">
        <v>0.443046</v>
      </c>
      <c r="C725">
        <v>2429.643151</v>
      </c>
      <c r="D725">
        <v>2430.086197</v>
      </c>
    </row>
    <row r="726" spans="1:4">
      <c r="A726" s="28" t="s">
        <v>389</v>
      </c>
      <c r="B726">
        <v>0.443046</v>
      </c>
      <c r="C726">
        <v>2429.643151</v>
      </c>
      <c r="D726">
        <v>2430.086197</v>
      </c>
    </row>
    <row r="727" spans="1:4">
      <c r="A727" s="16" t="s">
        <v>390</v>
      </c>
      <c r="B727">
        <v>0</v>
      </c>
      <c r="C727">
        <v>5.78449</v>
      </c>
      <c r="D727">
        <v>5.78449</v>
      </c>
    </row>
    <row r="728" spans="1:4">
      <c r="A728" s="28" t="s">
        <v>10</v>
      </c>
      <c r="B728">
        <v>0</v>
      </c>
      <c r="C728">
        <v>5.78449</v>
      </c>
      <c r="D728">
        <v>5.78449</v>
      </c>
    </row>
    <row r="729" spans="1:4">
      <c r="A729" s="16" t="s">
        <v>391</v>
      </c>
      <c r="B729">
        <v>0.363946</v>
      </c>
      <c r="C729">
        <v>0</v>
      </c>
      <c r="D729">
        <v>0.363946</v>
      </c>
    </row>
    <row r="730" spans="1:4">
      <c r="A730" s="28" t="s">
        <v>10</v>
      </c>
      <c r="B730">
        <v>0.363946</v>
      </c>
      <c r="C730">
        <v>0</v>
      </c>
      <c r="D730">
        <v>0.363946</v>
      </c>
    </row>
    <row r="731" spans="1:4">
      <c r="A731" s="16" t="s">
        <v>392</v>
      </c>
      <c r="B731">
        <v>0</v>
      </c>
      <c r="C731">
        <v>1.88264</v>
      </c>
      <c r="D731">
        <v>1.88264</v>
      </c>
    </row>
    <row r="732" spans="1:4">
      <c r="A732" s="28" t="s">
        <v>10</v>
      </c>
      <c r="B732">
        <v>0</v>
      </c>
      <c r="C732">
        <v>1.88264</v>
      </c>
      <c r="D732">
        <v>1.88264</v>
      </c>
    </row>
    <row r="733" spans="1:4">
      <c r="A733" s="16" t="s">
        <v>393</v>
      </c>
      <c r="B733">
        <v>0</v>
      </c>
      <c r="C733">
        <v>2.553226</v>
      </c>
      <c r="D733">
        <v>2.553226</v>
      </c>
    </row>
    <row r="734" spans="1:4">
      <c r="A734" s="28" t="s">
        <v>10</v>
      </c>
      <c r="B734">
        <v>0</v>
      </c>
      <c r="C734">
        <v>2.553226</v>
      </c>
      <c r="D734">
        <v>2.553226</v>
      </c>
    </row>
    <row r="735" spans="1:4">
      <c r="A735" s="16" t="s">
        <v>394</v>
      </c>
      <c r="B735">
        <v>11.476182</v>
      </c>
      <c r="C735">
        <v>3.407183</v>
      </c>
      <c r="D735">
        <v>14.883365</v>
      </c>
    </row>
    <row r="736" spans="1:4">
      <c r="A736" s="28" t="s">
        <v>10</v>
      </c>
      <c r="B736">
        <v>11.476182</v>
      </c>
      <c r="C736">
        <v>3.407183</v>
      </c>
      <c r="D736">
        <v>14.883365</v>
      </c>
    </row>
    <row r="737" spans="1:4">
      <c r="A737" s="16" t="s">
        <v>395</v>
      </c>
      <c r="B737">
        <v>0.02563</v>
      </c>
      <c r="C737">
        <v>0</v>
      </c>
      <c r="D737">
        <v>0.02563</v>
      </c>
    </row>
    <row r="738" spans="1:4">
      <c r="A738" s="28" t="s">
        <v>10</v>
      </c>
      <c r="B738">
        <v>0.02563</v>
      </c>
      <c r="C738">
        <v>0</v>
      </c>
      <c r="D738">
        <v>0.02563</v>
      </c>
    </row>
    <row r="739" spans="1:4">
      <c r="A739" s="16" t="s">
        <v>396</v>
      </c>
      <c r="B739">
        <v>70.115372</v>
      </c>
      <c r="C739">
        <v>2.054626</v>
      </c>
      <c r="D739">
        <v>72.169998</v>
      </c>
    </row>
    <row r="740" spans="1:4">
      <c r="A740" s="28" t="s">
        <v>10</v>
      </c>
      <c r="B740">
        <v>70.115372</v>
      </c>
      <c r="C740">
        <v>2.054626</v>
      </c>
      <c r="D740">
        <v>72.169998</v>
      </c>
    </row>
    <row r="741" spans="1:4">
      <c r="A741" s="16" t="s">
        <v>397</v>
      </c>
      <c r="B741">
        <v>30.03603</v>
      </c>
      <c r="C741">
        <v>0</v>
      </c>
      <c r="D741">
        <v>30.03603</v>
      </c>
    </row>
    <row r="742" spans="1:4">
      <c r="A742" s="28" t="s">
        <v>10</v>
      </c>
      <c r="B742">
        <v>30.03603</v>
      </c>
      <c r="C742">
        <v>0</v>
      </c>
      <c r="D742">
        <v>30.03603</v>
      </c>
    </row>
    <row r="743" spans="1:4">
      <c r="A743" s="16" t="s">
        <v>398</v>
      </c>
      <c r="B743">
        <v>50.082884</v>
      </c>
      <c r="C743">
        <v>0</v>
      </c>
      <c r="D743">
        <v>50.082884</v>
      </c>
    </row>
    <row r="744" spans="1:4">
      <c r="A744" s="28" t="s">
        <v>10</v>
      </c>
      <c r="B744">
        <v>50.082884</v>
      </c>
      <c r="C744">
        <v>0</v>
      </c>
      <c r="D744">
        <v>50.082884</v>
      </c>
    </row>
    <row r="745" spans="1:4">
      <c r="A745" s="16" t="s">
        <v>399</v>
      </c>
      <c r="B745">
        <v>1.22682</v>
      </c>
      <c r="C745">
        <v>0</v>
      </c>
      <c r="D745">
        <v>1.22682</v>
      </c>
    </row>
    <row r="746" spans="1:4">
      <c r="A746" s="28" t="s">
        <v>10</v>
      </c>
      <c r="B746">
        <v>1.22682</v>
      </c>
      <c r="C746">
        <v>0</v>
      </c>
      <c r="D746">
        <v>1.22682</v>
      </c>
    </row>
    <row r="747" spans="1:4">
      <c r="A747" s="16" t="s">
        <v>400</v>
      </c>
      <c r="B747">
        <v>0.099724</v>
      </c>
      <c r="C747">
        <v>0</v>
      </c>
      <c r="D747">
        <v>0.099724</v>
      </c>
    </row>
    <row r="748" spans="1:4">
      <c r="A748" s="28" t="s">
        <v>10</v>
      </c>
      <c r="B748">
        <v>0.099724</v>
      </c>
      <c r="C748">
        <v>0</v>
      </c>
      <c r="D748">
        <v>0.099724</v>
      </c>
    </row>
    <row r="749" spans="1:4">
      <c r="A749" s="16" t="s">
        <v>401</v>
      </c>
      <c r="B749">
        <v>0.205948</v>
      </c>
      <c r="C749">
        <v>0</v>
      </c>
      <c r="D749">
        <v>0.205948</v>
      </c>
    </row>
    <row r="750" spans="1:4">
      <c r="A750" s="28" t="s">
        <v>10</v>
      </c>
      <c r="B750">
        <v>0.205948</v>
      </c>
      <c r="C750">
        <v>0</v>
      </c>
      <c r="D750">
        <v>0.205948</v>
      </c>
    </row>
    <row r="751" spans="1:4">
      <c r="A751" s="16" t="s">
        <v>402</v>
      </c>
      <c r="B751">
        <v>6.441014</v>
      </c>
      <c r="C751">
        <v>2.023087</v>
      </c>
      <c r="D751">
        <v>8.464101</v>
      </c>
    </row>
    <row r="752" spans="1:4">
      <c r="A752" s="28" t="s">
        <v>10</v>
      </c>
      <c r="B752">
        <v>6.441014</v>
      </c>
      <c r="C752">
        <v>2.023087</v>
      </c>
      <c r="D752">
        <v>8.464101</v>
      </c>
    </row>
    <row r="753" spans="1:4">
      <c r="A753" s="16" t="s">
        <v>403</v>
      </c>
      <c r="B753">
        <v>0</v>
      </c>
      <c r="C753">
        <v>10.076233</v>
      </c>
      <c r="D753">
        <v>10.076233</v>
      </c>
    </row>
    <row r="754" spans="1:4">
      <c r="A754" s="28" t="s">
        <v>404</v>
      </c>
      <c r="B754">
        <v>0</v>
      </c>
      <c r="C754">
        <v>10.076233</v>
      </c>
      <c r="D754">
        <v>10.076233</v>
      </c>
    </row>
    <row r="755" spans="1:4">
      <c r="A755" s="16" t="s">
        <v>405</v>
      </c>
      <c r="B755">
        <v>161.152408</v>
      </c>
      <c r="C755">
        <v>13.968506</v>
      </c>
      <c r="D755">
        <v>175.120914</v>
      </c>
    </row>
    <row r="756" spans="1:4">
      <c r="A756" s="28" t="s">
        <v>10</v>
      </c>
      <c r="B756">
        <v>161.152408</v>
      </c>
      <c r="C756">
        <v>13.968506</v>
      </c>
      <c r="D756">
        <v>175.120914</v>
      </c>
    </row>
    <row r="757" spans="1:4">
      <c r="A757" s="16" t="s">
        <v>406</v>
      </c>
      <c r="B757">
        <v>0.151916</v>
      </c>
      <c r="C757">
        <v>0</v>
      </c>
      <c r="D757">
        <v>0.151916</v>
      </c>
    </row>
    <row r="758" spans="1:4">
      <c r="A758" s="28" t="s">
        <v>10</v>
      </c>
      <c r="B758">
        <v>0.151916</v>
      </c>
      <c r="C758">
        <v>0</v>
      </c>
      <c r="D758">
        <v>0.151916</v>
      </c>
    </row>
    <row r="759" spans="1:4">
      <c r="A759" s="16" t="s">
        <v>407</v>
      </c>
      <c r="B759">
        <v>5.545866</v>
      </c>
      <c r="C759">
        <v>0</v>
      </c>
      <c r="D759">
        <v>5.545866</v>
      </c>
    </row>
    <row r="760" spans="1:4">
      <c r="A760" s="28" t="s">
        <v>10</v>
      </c>
      <c r="B760">
        <v>5.545866</v>
      </c>
      <c r="C760">
        <v>0</v>
      </c>
      <c r="D760">
        <v>5.545866</v>
      </c>
    </row>
    <row r="761" spans="1:4">
      <c r="A761" s="16" t="s">
        <v>408</v>
      </c>
      <c r="B761">
        <v>0.99724</v>
      </c>
      <c r="C761">
        <v>0</v>
      </c>
      <c r="D761">
        <v>0.99724</v>
      </c>
    </row>
    <row r="762" spans="1:4">
      <c r="A762" s="28" t="s">
        <v>10</v>
      </c>
      <c r="B762">
        <v>0.99724</v>
      </c>
      <c r="C762">
        <v>0</v>
      </c>
      <c r="D762">
        <v>0.99724</v>
      </c>
    </row>
    <row r="763" spans="1:4">
      <c r="A763" s="16" t="s">
        <v>409</v>
      </c>
      <c r="B763">
        <v>0.011592</v>
      </c>
      <c r="C763">
        <v>0</v>
      </c>
      <c r="D763">
        <v>0.011592</v>
      </c>
    </row>
    <row r="764" spans="1:4">
      <c r="A764" s="28" t="s">
        <v>10</v>
      </c>
      <c r="B764">
        <v>0.011592</v>
      </c>
      <c r="C764">
        <v>0</v>
      </c>
      <c r="D764">
        <v>0.011592</v>
      </c>
    </row>
    <row r="765" spans="1:4">
      <c r="A765" s="16" t="s">
        <v>410</v>
      </c>
      <c r="B765">
        <v>0.23596</v>
      </c>
      <c r="C765">
        <v>0</v>
      </c>
      <c r="D765">
        <v>0.23596</v>
      </c>
    </row>
    <row r="766" spans="1:4">
      <c r="A766" s="28" t="s">
        <v>10</v>
      </c>
      <c r="B766">
        <v>0.23596</v>
      </c>
      <c r="C766">
        <v>0</v>
      </c>
      <c r="D766">
        <v>0.23596</v>
      </c>
    </row>
    <row r="767" spans="1:4">
      <c r="A767" s="16" t="s">
        <v>411</v>
      </c>
      <c r="B767">
        <v>4.943794</v>
      </c>
      <c r="C767">
        <v>0</v>
      </c>
      <c r="D767">
        <v>4.943794</v>
      </c>
    </row>
    <row r="768" spans="1:4">
      <c r="A768" s="28" t="s">
        <v>10</v>
      </c>
      <c r="B768">
        <v>4.943794</v>
      </c>
      <c r="C768">
        <v>0</v>
      </c>
      <c r="D768">
        <v>4.943794</v>
      </c>
    </row>
    <row r="769" spans="1:4">
      <c r="A769" s="16" t="s">
        <v>412</v>
      </c>
      <c r="B769">
        <v>0.488061</v>
      </c>
      <c r="C769">
        <v>0</v>
      </c>
      <c r="D769">
        <v>0.488061</v>
      </c>
    </row>
    <row r="770" spans="1:4">
      <c r="A770" s="28" t="s">
        <v>10</v>
      </c>
      <c r="B770">
        <v>0.488061</v>
      </c>
      <c r="C770">
        <v>0</v>
      </c>
      <c r="D770">
        <v>0.488061</v>
      </c>
    </row>
    <row r="771" spans="1:4">
      <c r="A771" s="16" t="s">
        <v>413</v>
      </c>
      <c r="B771">
        <v>4.577984</v>
      </c>
      <c r="C771">
        <v>0</v>
      </c>
      <c r="D771">
        <v>4.577984</v>
      </c>
    </row>
    <row r="772" spans="1:4">
      <c r="A772" s="28" t="s">
        <v>10</v>
      </c>
      <c r="B772">
        <v>4.577984</v>
      </c>
      <c r="C772">
        <v>0</v>
      </c>
      <c r="D772">
        <v>4.577984</v>
      </c>
    </row>
    <row r="773" spans="1:4">
      <c r="A773" s="16" t="s">
        <v>414</v>
      </c>
      <c r="B773">
        <v>31.228524</v>
      </c>
      <c r="C773">
        <v>1.09452</v>
      </c>
      <c r="D773">
        <v>32.323044</v>
      </c>
    </row>
    <row r="774" spans="1:4">
      <c r="A774" s="28" t="s">
        <v>10</v>
      </c>
      <c r="B774">
        <v>31.228524</v>
      </c>
      <c r="C774">
        <v>1.09452</v>
      </c>
      <c r="D774">
        <v>32.323044</v>
      </c>
    </row>
    <row r="775" spans="1:4">
      <c r="A775" s="16" t="s">
        <v>415</v>
      </c>
      <c r="B775">
        <v>0.080152</v>
      </c>
      <c r="C775">
        <v>0</v>
      </c>
      <c r="D775">
        <v>0.080152</v>
      </c>
    </row>
    <row r="776" spans="1:4">
      <c r="A776" s="28" t="s">
        <v>10</v>
      </c>
      <c r="B776">
        <v>0.080152</v>
      </c>
      <c r="C776">
        <v>0</v>
      </c>
      <c r="D776">
        <v>0.080152</v>
      </c>
    </row>
    <row r="777" spans="1:4">
      <c r="A777" s="16" t="s">
        <v>416</v>
      </c>
      <c r="B777">
        <v>7.702048</v>
      </c>
      <c r="C777">
        <v>0</v>
      </c>
      <c r="D777">
        <v>7.702048</v>
      </c>
    </row>
    <row r="778" spans="1:4">
      <c r="A778" s="28" t="s">
        <v>10</v>
      </c>
      <c r="B778">
        <v>7.702048</v>
      </c>
      <c r="C778">
        <v>0</v>
      </c>
      <c r="D778">
        <v>7.702048</v>
      </c>
    </row>
    <row r="779" spans="1:4">
      <c r="A779" s="16" t="s">
        <v>417</v>
      </c>
      <c r="B779">
        <v>0</v>
      </c>
      <c r="C779">
        <v>0.03536</v>
      </c>
      <c r="D779">
        <v>0.03536</v>
      </c>
    </row>
    <row r="780" spans="1:4">
      <c r="A780" s="28" t="s">
        <v>418</v>
      </c>
      <c r="B780">
        <v>0</v>
      </c>
      <c r="C780">
        <v>0.03536</v>
      </c>
      <c r="D780">
        <v>0.03536</v>
      </c>
    </row>
    <row r="781" spans="1:4">
      <c r="A781" s="16" t="s">
        <v>419</v>
      </c>
      <c r="B781">
        <v>0</v>
      </c>
      <c r="C781">
        <v>14.611774</v>
      </c>
      <c r="D781">
        <v>14.611774</v>
      </c>
    </row>
    <row r="782" spans="1:4">
      <c r="A782" s="28" t="s">
        <v>10</v>
      </c>
      <c r="B782">
        <v>0</v>
      </c>
      <c r="C782">
        <v>14.611774</v>
      </c>
      <c r="D782">
        <v>14.611774</v>
      </c>
    </row>
    <row r="783" spans="1:4">
      <c r="A783" s="16" t="s">
        <v>420</v>
      </c>
      <c r="B783">
        <v>10.258664</v>
      </c>
      <c r="C783">
        <v>10</v>
      </c>
      <c r="D783">
        <v>20.258664</v>
      </c>
    </row>
    <row r="784" spans="1:4">
      <c r="A784" s="28" t="s">
        <v>10</v>
      </c>
      <c r="B784">
        <v>10.258664</v>
      </c>
      <c r="C784">
        <v>10</v>
      </c>
      <c r="D784">
        <v>20.258664</v>
      </c>
    </row>
    <row r="785" spans="1:4">
      <c r="A785" s="16" t="s">
        <v>421</v>
      </c>
      <c r="B785">
        <v>9.087012</v>
      </c>
      <c r="C785">
        <v>0</v>
      </c>
      <c r="D785">
        <v>9.087012</v>
      </c>
    </row>
    <row r="786" spans="1:4">
      <c r="A786" s="28" t="s">
        <v>10</v>
      </c>
      <c r="B786">
        <v>9.087012</v>
      </c>
      <c r="C786">
        <v>0</v>
      </c>
      <c r="D786">
        <v>9.087012</v>
      </c>
    </row>
    <row r="787" spans="1:4">
      <c r="A787" s="16" t="s">
        <v>422</v>
      </c>
      <c r="B787">
        <v>0.260028</v>
      </c>
      <c r="C787">
        <v>0</v>
      </c>
      <c r="D787">
        <v>0.260028</v>
      </c>
    </row>
    <row r="788" spans="1:4">
      <c r="A788" s="28" t="s">
        <v>10</v>
      </c>
      <c r="B788">
        <v>0.260028</v>
      </c>
      <c r="C788">
        <v>0</v>
      </c>
      <c r="D788">
        <v>0.260028</v>
      </c>
    </row>
    <row r="789" spans="1:4">
      <c r="A789" s="16" t="s">
        <v>423</v>
      </c>
      <c r="B789">
        <v>0.206812</v>
      </c>
      <c r="C789">
        <v>0</v>
      </c>
      <c r="D789">
        <v>0.206812</v>
      </c>
    </row>
    <row r="790" spans="1:4">
      <c r="A790" s="28" t="s">
        <v>10</v>
      </c>
      <c r="B790">
        <v>0.206812</v>
      </c>
      <c r="C790">
        <v>0</v>
      </c>
      <c r="D790">
        <v>0.206812</v>
      </c>
    </row>
    <row r="791" spans="1:4">
      <c r="A791" s="16" t="s">
        <v>424</v>
      </c>
      <c r="B791">
        <v>20.11023</v>
      </c>
      <c r="C791">
        <v>1.2276</v>
      </c>
      <c r="D791">
        <v>21.33783</v>
      </c>
    </row>
    <row r="792" spans="1:4">
      <c r="A792" s="28" t="s">
        <v>10</v>
      </c>
      <c r="B792">
        <v>20.11023</v>
      </c>
      <c r="C792">
        <v>1.2276</v>
      </c>
      <c r="D792">
        <v>21.33783</v>
      </c>
    </row>
    <row r="793" spans="1:4">
      <c r="A793" s="16" t="s">
        <v>425</v>
      </c>
      <c r="B793">
        <v>0</v>
      </c>
      <c r="C793">
        <v>2.118417</v>
      </c>
      <c r="D793">
        <v>2.118417</v>
      </c>
    </row>
    <row r="794" spans="1:4">
      <c r="A794" s="28" t="s">
        <v>10</v>
      </c>
      <c r="B794">
        <v>0</v>
      </c>
      <c r="C794">
        <v>2.118417</v>
      </c>
      <c r="D794">
        <v>2.118417</v>
      </c>
    </row>
    <row r="795" spans="1:4">
      <c r="A795" s="16" t="s">
        <v>426</v>
      </c>
      <c r="B795">
        <v>0.17708</v>
      </c>
      <c r="C795">
        <v>0</v>
      </c>
      <c r="D795">
        <v>0.17708</v>
      </c>
    </row>
    <row r="796" spans="1:4">
      <c r="A796" s="28" t="s">
        <v>10</v>
      </c>
      <c r="B796">
        <v>0.17708</v>
      </c>
      <c r="C796">
        <v>0</v>
      </c>
      <c r="D796">
        <v>0.17708</v>
      </c>
    </row>
    <row r="797" spans="1:4">
      <c r="A797" s="16" t="s">
        <v>427</v>
      </c>
      <c r="B797">
        <v>5.29609</v>
      </c>
      <c r="C797">
        <v>0.149116</v>
      </c>
      <c r="D797">
        <v>5.445206</v>
      </c>
    </row>
    <row r="798" spans="1:4">
      <c r="A798" s="28" t="s">
        <v>10</v>
      </c>
      <c r="B798">
        <v>5.29609</v>
      </c>
      <c r="C798">
        <v>0.149116</v>
      </c>
      <c r="D798">
        <v>5.445206</v>
      </c>
    </row>
    <row r="799" spans="1:4">
      <c r="A799" s="16" t="s">
        <v>428</v>
      </c>
      <c r="B799">
        <v>0.164498</v>
      </c>
      <c r="C799">
        <v>0</v>
      </c>
      <c r="D799">
        <v>0.164498</v>
      </c>
    </row>
    <row r="800" spans="1:4">
      <c r="A800" s="28" t="s">
        <v>10</v>
      </c>
      <c r="B800">
        <v>0.164498</v>
      </c>
      <c r="C800">
        <v>0</v>
      </c>
      <c r="D800">
        <v>0.164498</v>
      </c>
    </row>
    <row r="801" spans="1:4">
      <c r="A801" s="16" t="s">
        <v>429</v>
      </c>
      <c r="B801">
        <v>160.868792</v>
      </c>
      <c r="C801">
        <v>0</v>
      </c>
      <c r="D801">
        <v>160.868792</v>
      </c>
    </row>
    <row r="802" spans="1:4">
      <c r="A802" s="28" t="s">
        <v>10</v>
      </c>
      <c r="B802">
        <v>160.868792</v>
      </c>
      <c r="C802">
        <v>0</v>
      </c>
      <c r="D802">
        <v>160.868792</v>
      </c>
    </row>
    <row r="803" spans="1:4">
      <c r="A803" s="16" t="s">
        <v>430</v>
      </c>
      <c r="B803">
        <v>35.518986</v>
      </c>
      <c r="C803">
        <v>1.59448</v>
      </c>
      <c r="D803">
        <v>37.113466</v>
      </c>
    </row>
    <row r="804" spans="1:4">
      <c r="A804" s="28" t="s">
        <v>10</v>
      </c>
      <c r="B804">
        <v>35.518986</v>
      </c>
      <c r="C804">
        <v>1.59448</v>
      </c>
      <c r="D804">
        <v>37.113466</v>
      </c>
    </row>
    <row r="805" spans="1:4">
      <c r="A805" s="16" t="s">
        <v>431</v>
      </c>
      <c r="B805">
        <v>0.154712</v>
      </c>
      <c r="C805">
        <v>0</v>
      </c>
      <c r="D805">
        <v>0.154712</v>
      </c>
    </row>
    <row r="806" spans="1:4">
      <c r="A806" s="28" t="s">
        <v>10</v>
      </c>
      <c r="B806">
        <v>0.154712</v>
      </c>
      <c r="C806">
        <v>0</v>
      </c>
      <c r="D806">
        <v>0.154712</v>
      </c>
    </row>
    <row r="807" spans="1:4">
      <c r="A807" s="16" t="s">
        <v>432</v>
      </c>
      <c r="B807">
        <v>7.013664</v>
      </c>
      <c r="C807">
        <v>0</v>
      </c>
      <c r="D807">
        <v>7.013664</v>
      </c>
    </row>
    <row r="808" spans="1:4">
      <c r="A808" s="28" t="s">
        <v>10</v>
      </c>
      <c r="B808">
        <v>7.013664</v>
      </c>
      <c r="C808">
        <v>0</v>
      </c>
      <c r="D808">
        <v>7.013664</v>
      </c>
    </row>
    <row r="809" spans="1:4">
      <c r="A809" s="16" t="s">
        <v>433</v>
      </c>
      <c r="B809">
        <v>30.156258</v>
      </c>
      <c r="C809">
        <v>1.815722</v>
      </c>
      <c r="D809">
        <v>31.97198</v>
      </c>
    </row>
    <row r="810" spans="1:4">
      <c r="A810" s="28" t="s">
        <v>10</v>
      </c>
      <c r="B810">
        <v>30.156258</v>
      </c>
      <c r="C810">
        <v>1.815722</v>
      </c>
      <c r="D810">
        <v>31.97198</v>
      </c>
    </row>
    <row r="811" spans="1:4">
      <c r="A811" s="16" t="s">
        <v>434</v>
      </c>
      <c r="B811">
        <v>1.09743</v>
      </c>
      <c r="C811">
        <v>0</v>
      </c>
      <c r="D811">
        <v>1.09743</v>
      </c>
    </row>
    <row r="812" spans="1:4">
      <c r="A812" s="28" t="s">
        <v>10</v>
      </c>
      <c r="B812">
        <v>1.09743</v>
      </c>
      <c r="C812">
        <v>0</v>
      </c>
      <c r="D812">
        <v>1.09743</v>
      </c>
    </row>
    <row r="813" spans="1:4">
      <c r="A813" s="16" t="s">
        <v>435</v>
      </c>
      <c r="B813">
        <v>337.97522</v>
      </c>
      <c r="C813">
        <v>8.78268</v>
      </c>
      <c r="D813">
        <v>346.7579</v>
      </c>
    </row>
    <row r="814" spans="1:4">
      <c r="A814" s="28" t="s">
        <v>10</v>
      </c>
      <c r="B814">
        <v>337.97522</v>
      </c>
      <c r="C814">
        <v>8.78268</v>
      </c>
      <c r="D814">
        <v>346.7579</v>
      </c>
    </row>
    <row r="815" spans="1:4">
      <c r="A815" s="16" t="s">
        <v>436</v>
      </c>
      <c r="B815">
        <v>0</v>
      </c>
      <c r="C815">
        <v>8.54751</v>
      </c>
      <c r="D815">
        <v>8.54751</v>
      </c>
    </row>
    <row r="816" spans="1:4">
      <c r="A816" s="28" t="s">
        <v>10</v>
      </c>
      <c r="B816">
        <v>0</v>
      </c>
      <c r="C816">
        <v>8.54751</v>
      </c>
      <c r="D816">
        <v>8.54751</v>
      </c>
    </row>
    <row r="817" spans="1:4">
      <c r="A817" s="16" t="s">
        <v>437</v>
      </c>
      <c r="B817">
        <v>60.099088</v>
      </c>
      <c r="C817">
        <v>0</v>
      </c>
      <c r="D817">
        <v>60.099088</v>
      </c>
    </row>
    <row r="818" spans="1:4">
      <c r="A818" s="28" t="s">
        <v>10</v>
      </c>
      <c r="B818">
        <v>60.099088</v>
      </c>
      <c r="C818">
        <v>0</v>
      </c>
      <c r="D818">
        <v>60.099088</v>
      </c>
    </row>
    <row r="819" spans="1:4">
      <c r="A819" s="16" t="s">
        <v>438</v>
      </c>
      <c r="B819">
        <v>0.166362</v>
      </c>
      <c r="C819">
        <v>0</v>
      </c>
      <c r="D819">
        <v>0.166362</v>
      </c>
    </row>
    <row r="820" spans="1:4">
      <c r="A820" s="28" t="s">
        <v>10</v>
      </c>
      <c r="B820">
        <v>0.166362</v>
      </c>
      <c r="C820">
        <v>0</v>
      </c>
      <c r="D820">
        <v>0.166362</v>
      </c>
    </row>
    <row r="821" spans="1:4">
      <c r="A821" s="16" t="s">
        <v>439</v>
      </c>
      <c r="B821">
        <v>38.772444</v>
      </c>
      <c r="C821">
        <v>0.31212</v>
      </c>
      <c r="D821">
        <v>39.084564</v>
      </c>
    </row>
    <row r="822" spans="1:4">
      <c r="A822" s="28" t="s">
        <v>10</v>
      </c>
      <c r="B822">
        <v>38.772444</v>
      </c>
      <c r="C822">
        <v>0.31212</v>
      </c>
      <c r="D822">
        <v>39.084564</v>
      </c>
    </row>
    <row r="823" spans="1:4">
      <c r="A823" s="16" t="s">
        <v>440</v>
      </c>
      <c r="B823">
        <v>0.331792</v>
      </c>
      <c r="C823">
        <v>0</v>
      </c>
      <c r="D823">
        <v>0.331792</v>
      </c>
    </row>
    <row r="824" spans="1:4">
      <c r="A824" s="28" t="s">
        <v>10</v>
      </c>
      <c r="B824">
        <v>0.331792</v>
      </c>
      <c r="C824">
        <v>0</v>
      </c>
      <c r="D824">
        <v>0.331792</v>
      </c>
    </row>
    <row r="825" spans="1:4">
      <c r="A825" s="16" t="s">
        <v>441</v>
      </c>
      <c r="B825">
        <v>0.1944</v>
      </c>
      <c r="C825">
        <v>0</v>
      </c>
      <c r="D825">
        <v>0.1944</v>
      </c>
    </row>
    <row r="826" spans="1:4">
      <c r="A826" s="28" t="s">
        <v>10</v>
      </c>
      <c r="B826">
        <v>0.1944</v>
      </c>
      <c r="C826">
        <v>0</v>
      </c>
      <c r="D826">
        <v>0.1944</v>
      </c>
    </row>
    <row r="827" spans="1:4">
      <c r="A827" s="16" t="s">
        <v>442</v>
      </c>
      <c r="B827">
        <v>15.558926</v>
      </c>
      <c r="C827">
        <v>0.021285</v>
      </c>
      <c r="D827">
        <v>15.580211</v>
      </c>
    </row>
    <row r="828" spans="1:4">
      <c r="A828" s="28" t="s">
        <v>10</v>
      </c>
      <c r="B828">
        <v>15.558926</v>
      </c>
      <c r="C828">
        <v>0.021285</v>
      </c>
      <c r="D828">
        <v>15.580211</v>
      </c>
    </row>
    <row r="829" spans="1:4">
      <c r="A829" s="16" t="s">
        <v>443</v>
      </c>
      <c r="B829">
        <v>1.010072</v>
      </c>
      <c r="C829">
        <v>0</v>
      </c>
      <c r="D829">
        <v>1.010072</v>
      </c>
    </row>
    <row r="830" spans="1:4">
      <c r="A830" s="28" t="s">
        <v>10</v>
      </c>
      <c r="B830">
        <v>1.010072</v>
      </c>
      <c r="C830">
        <v>0</v>
      </c>
      <c r="D830">
        <v>1.010072</v>
      </c>
    </row>
    <row r="831" spans="1:4">
      <c r="A831" s="16" t="s">
        <v>444</v>
      </c>
      <c r="B831">
        <v>14.811656</v>
      </c>
      <c r="C831">
        <v>0</v>
      </c>
      <c r="D831">
        <v>14.811656</v>
      </c>
    </row>
    <row r="832" spans="1:4">
      <c r="A832" s="28" t="s">
        <v>10</v>
      </c>
      <c r="B832">
        <v>14.811656</v>
      </c>
      <c r="C832">
        <v>0</v>
      </c>
      <c r="D832">
        <v>14.811656</v>
      </c>
    </row>
    <row r="833" spans="1:4">
      <c r="A833" s="16" t="s">
        <v>445</v>
      </c>
      <c r="B833">
        <v>0</v>
      </c>
      <c r="C833">
        <v>8.525389</v>
      </c>
      <c r="D833">
        <v>8.525389</v>
      </c>
    </row>
    <row r="834" spans="1:4">
      <c r="A834" s="28" t="s">
        <v>10</v>
      </c>
      <c r="B834">
        <v>0</v>
      </c>
      <c r="C834">
        <v>8.525389</v>
      </c>
      <c r="D834">
        <v>8.525389</v>
      </c>
    </row>
    <row r="835" spans="1:4">
      <c r="A835" s="16" t="s">
        <v>446</v>
      </c>
      <c r="B835">
        <v>0</v>
      </c>
      <c r="C835">
        <v>1.433804</v>
      </c>
      <c r="D835">
        <v>1.433804</v>
      </c>
    </row>
    <row r="836" spans="1:4">
      <c r="A836" s="28" t="s">
        <v>10</v>
      </c>
      <c r="B836">
        <v>0</v>
      </c>
      <c r="C836">
        <v>1.433804</v>
      </c>
      <c r="D836">
        <v>1.433804</v>
      </c>
    </row>
    <row r="837" spans="1:4">
      <c r="A837" s="16" t="s">
        <v>447</v>
      </c>
      <c r="B837">
        <v>0.136538</v>
      </c>
      <c r="C837">
        <v>0</v>
      </c>
      <c r="D837">
        <v>0.136538</v>
      </c>
    </row>
    <row r="838" spans="1:4">
      <c r="A838" s="28" t="s">
        <v>10</v>
      </c>
      <c r="B838">
        <v>0.136538</v>
      </c>
      <c r="C838">
        <v>0</v>
      </c>
      <c r="D838">
        <v>0.136538</v>
      </c>
    </row>
    <row r="839" spans="1:4">
      <c r="A839" s="16" t="s">
        <v>448</v>
      </c>
      <c r="B839">
        <v>11.448852</v>
      </c>
      <c r="C839">
        <v>0</v>
      </c>
      <c r="D839">
        <v>11.448852</v>
      </c>
    </row>
    <row r="840" spans="1:4">
      <c r="A840" s="28" t="s">
        <v>10</v>
      </c>
      <c r="B840">
        <v>11.448852</v>
      </c>
      <c r="C840">
        <v>0</v>
      </c>
      <c r="D840">
        <v>11.448852</v>
      </c>
    </row>
    <row r="841" spans="1:4">
      <c r="A841" s="16" t="s">
        <v>449</v>
      </c>
      <c r="B841">
        <v>0</v>
      </c>
      <c r="C841">
        <v>5.919624</v>
      </c>
      <c r="D841">
        <v>5.919624</v>
      </c>
    </row>
    <row r="842" spans="1:4">
      <c r="A842" s="28" t="s">
        <v>10</v>
      </c>
      <c r="B842">
        <v>0</v>
      </c>
      <c r="C842">
        <v>5.919624</v>
      </c>
      <c r="D842">
        <v>5.919624</v>
      </c>
    </row>
    <row r="843" spans="1:4">
      <c r="A843" s="16" t="s">
        <v>450</v>
      </c>
      <c r="B843">
        <v>0</v>
      </c>
      <c r="C843">
        <v>54.038824</v>
      </c>
      <c r="D843">
        <v>54.038824</v>
      </c>
    </row>
    <row r="844" spans="1:4">
      <c r="A844" s="28" t="s">
        <v>10</v>
      </c>
      <c r="B844">
        <v>0</v>
      </c>
      <c r="C844">
        <v>54.038824</v>
      </c>
      <c r="D844">
        <v>54.038824</v>
      </c>
    </row>
    <row r="845" spans="1:4">
      <c r="A845" s="16" t="s">
        <v>451</v>
      </c>
      <c r="B845">
        <v>0.888196</v>
      </c>
      <c r="C845">
        <v>0</v>
      </c>
      <c r="D845">
        <v>0.888196</v>
      </c>
    </row>
    <row r="846" spans="1:4">
      <c r="A846" s="28" t="s">
        <v>10</v>
      </c>
      <c r="B846">
        <v>0.888196</v>
      </c>
      <c r="C846">
        <v>0</v>
      </c>
      <c r="D846">
        <v>0.888196</v>
      </c>
    </row>
    <row r="847" spans="1:4">
      <c r="A847" s="16" t="s">
        <v>452</v>
      </c>
      <c r="B847">
        <v>0</v>
      </c>
      <c r="C847">
        <v>6.128832</v>
      </c>
      <c r="D847">
        <v>6.128832</v>
      </c>
    </row>
    <row r="848" spans="1:4">
      <c r="A848" s="28" t="s">
        <v>10</v>
      </c>
      <c r="B848">
        <v>0</v>
      </c>
      <c r="C848">
        <v>6.128832</v>
      </c>
      <c r="D848">
        <v>6.128832</v>
      </c>
    </row>
    <row r="849" spans="1:4">
      <c r="A849" s="16" t="s">
        <v>453</v>
      </c>
      <c r="B849">
        <v>0.020504</v>
      </c>
      <c r="C849">
        <v>0</v>
      </c>
      <c r="D849">
        <v>0.020504</v>
      </c>
    </row>
    <row r="850" spans="1:4">
      <c r="A850" s="28" t="s">
        <v>10</v>
      </c>
      <c r="B850">
        <v>0.020504</v>
      </c>
      <c r="C850">
        <v>0</v>
      </c>
      <c r="D850">
        <v>0.020504</v>
      </c>
    </row>
    <row r="851" spans="1:4">
      <c r="A851" s="16" t="s">
        <v>454</v>
      </c>
      <c r="B851">
        <v>0.61341</v>
      </c>
      <c r="C851">
        <v>0</v>
      </c>
      <c r="D851">
        <v>0.61341</v>
      </c>
    </row>
    <row r="852" spans="1:4">
      <c r="A852" s="28" t="s">
        <v>10</v>
      </c>
      <c r="B852">
        <v>0.61341</v>
      </c>
      <c r="C852">
        <v>0</v>
      </c>
      <c r="D852">
        <v>0.61341</v>
      </c>
    </row>
    <row r="853" spans="1:4">
      <c r="A853" s="16" t="s">
        <v>455</v>
      </c>
      <c r="B853">
        <v>0</v>
      </c>
      <c r="C853">
        <v>8.225832</v>
      </c>
      <c r="D853">
        <v>8.225832</v>
      </c>
    </row>
    <row r="854" spans="1:4">
      <c r="A854" s="28" t="s">
        <v>10</v>
      </c>
      <c r="B854">
        <v>0</v>
      </c>
      <c r="C854">
        <v>8.225832</v>
      </c>
      <c r="D854">
        <v>8.225832</v>
      </c>
    </row>
    <row r="855" spans="1:4">
      <c r="A855" s="16" t="s">
        <v>456</v>
      </c>
      <c r="B855">
        <v>44.12554</v>
      </c>
      <c r="C855">
        <v>0</v>
      </c>
      <c r="D855">
        <v>44.12554</v>
      </c>
    </row>
    <row r="856" spans="1:4">
      <c r="A856" s="28" t="s">
        <v>10</v>
      </c>
      <c r="B856">
        <v>44.12554</v>
      </c>
      <c r="C856">
        <v>0</v>
      </c>
      <c r="D856">
        <v>44.12554</v>
      </c>
    </row>
    <row r="857" spans="1:4">
      <c r="A857" s="16" t="s">
        <v>457</v>
      </c>
      <c r="B857">
        <v>0.163566</v>
      </c>
      <c r="C857">
        <v>0</v>
      </c>
      <c r="D857">
        <v>0.163566</v>
      </c>
    </row>
    <row r="858" spans="1:4">
      <c r="A858" s="28" t="s">
        <v>10</v>
      </c>
      <c r="B858">
        <v>0.163566</v>
      </c>
      <c r="C858">
        <v>0</v>
      </c>
      <c r="D858">
        <v>0.163566</v>
      </c>
    </row>
    <row r="859" spans="1:4">
      <c r="A859" s="16" t="s">
        <v>458</v>
      </c>
      <c r="B859">
        <v>0.095424</v>
      </c>
      <c r="C859">
        <v>10</v>
      </c>
      <c r="D859">
        <v>10.095424</v>
      </c>
    </row>
    <row r="860" spans="1:4">
      <c r="A860" s="28" t="s">
        <v>10</v>
      </c>
      <c r="B860">
        <v>0.095424</v>
      </c>
      <c r="C860">
        <v>10</v>
      </c>
      <c r="D860">
        <v>10.095424</v>
      </c>
    </row>
    <row r="861" spans="1:4">
      <c r="A861" s="16" t="s">
        <v>459</v>
      </c>
      <c r="B861">
        <v>0.026228</v>
      </c>
      <c r="C861">
        <v>0</v>
      </c>
      <c r="D861">
        <v>0.026228</v>
      </c>
    </row>
    <row r="862" spans="1:4">
      <c r="A862" s="28" t="s">
        <v>10</v>
      </c>
      <c r="B862">
        <v>0.026228</v>
      </c>
      <c r="C862">
        <v>0</v>
      </c>
      <c r="D862">
        <v>0.026228</v>
      </c>
    </row>
    <row r="863" spans="1:4">
      <c r="A863" s="16" t="s">
        <v>460</v>
      </c>
      <c r="B863">
        <v>0.056295</v>
      </c>
      <c r="C863">
        <v>0.138105</v>
      </c>
      <c r="D863">
        <v>0.1944</v>
      </c>
    </row>
    <row r="864" spans="1:4">
      <c r="A864" s="28" t="s">
        <v>10</v>
      </c>
      <c r="B864">
        <v>0.056295</v>
      </c>
      <c r="C864">
        <v>0.138105</v>
      </c>
      <c r="D864">
        <v>0.1944</v>
      </c>
    </row>
    <row r="865" spans="1:4">
      <c r="A865" s="16" t="s">
        <v>461</v>
      </c>
      <c r="B865">
        <v>4.032</v>
      </c>
      <c r="C865">
        <v>0</v>
      </c>
      <c r="D865">
        <v>4.032</v>
      </c>
    </row>
    <row r="866" spans="1:4">
      <c r="A866" s="28" t="s">
        <v>10</v>
      </c>
      <c r="B866">
        <v>4.032</v>
      </c>
      <c r="C866">
        <v>0</v>
      </c>
      <c r="D866">
        <v>4.032</v>
      </c>
    </row>
    <row r="867" spans="1:4">
      <c r="A867" s="16" t="s">
        <v>462</v>
      </c>
      <c r="B867">
        <v>0</v>
      </c>
      <c r="C867">
        <v>3.8268</v>
      </c>
      <c r="D867">
        <v>3.8268</v>
      </c>
    </row>
    <row r="868" spans="1:4">
      <c r="A868" s="28" t="s">
        <v>10</v>
      </c>
      <c r="B868">
        <v>0</v>
      </c>
      <c r="C868">
        <v>3.8268</v>
      </c>
      <c r="D868">
        <v>3.8268</v>
      </c>
    </row>
    <row r="869" spans="1:4">
      <c r="A869" s="16" t="s">
        <v>463</v>
      </c>
      <c r="B869">
        <v>11.41994</v>
      </c>
      <c r="C869">
        <v>9.048116</v>
      </c>
      <c r="D869">
        <v>20.468056</v>
      </c>
    </row>
    <row r="870" spans="1:4">
      <c r="A870" s="28" t="s">
        <v>10</v>
      </c>
      <c r="B870">
        <v>11.41994</v>
      </c>
      <c r="C870">
        <v>9.048116</v>
      </c>
      <c r="D870">
        <v>20.468056</v>
      </c>
    </row>
    <row r="871" spans="1:4">
      <c r="A871" s="16" t="s">
        <v>464</v>
      </c>
      <c r="B871">
        <v>0.3888</v>
      </c>
      <c r="C871">
        <v>0</v>
      </c>
      <c r="D871">
        <v>0.3888</v>
      </c>
    </row>
    <row r="872" spans="1:4">
      <c r="A872" s="28" t="s">
        <v>10</v>
      </c>
      <c r="B872">
        <v>0.3888</v>
      </c>
      <c r="C872">
        <v>0</v>
      </c>
      <c r="D872">
        <v>0.3888</v>
      </c>
    </row>
    <row r="873" spans="1:4">
      <c r="A873" s="16" t="s">
        <v>465</v>
      </c>
      <c r="B873">
        <v>0.12166</v>
      </c>
      <c r="C873">
        <v>0</v>
      </c>
      <c r="D873">
        <v>0.12166</v>
      </c>
    </row>
    <row r="874" spans="1:4">
      <c r="A874" s="28" t="s">
        <v>10</v>
      </c>
      <c r="B874">
        <v>0.12166</v>
      </c>
      <c r="C874">
        <v>0</v>
      </c>
      <c r="D874">
        <v>0.12166</v>
      </c>
    </row>
    <row r="875" spans="1:4">
      <c r="A875" s="16" t="s">
        <v>466</v>
      </c>
      <c r="B875">
        <v>9.7236</v>
      </c>
      <c r="C875">
        <v>0</v>
      </c>
      <c r="D875">
        <v>9.7236</v>
      </c>
    </row>
    <row r="876" spans="1:4">
      <c r="A876" s="28" t="s">
        <v>10</v>
      </c>
      <c r="B876">
        <v>9.7236</v>
      </c>
      <c r="C876">
        <v>0</v>
      </c>
      <c r="D876">
        <v>9.7236</v>
      </c>
    </row>
    <row r="877" spans="1:4">
      <c r="A877" s="16" t="s">
        <v>467</v>
      </c>
      <c r="B877">
        <v>0.138402</v>
      </c>
      <c r="C877">
        <v>0</v>
      </c>
      <c r="D877">
        <v>0.138402</v>
      </c>
    </row>
    <row r="878" spans="1:4">
      <c r="A878" s="28" t="s">
        <v>10</v>
      </c>
      <c r="B878">
        <v>0.138402</v>
      </c>
      <c r="C878">
        <v>0</v>
      </c>
      <c r="D878">
        <v>0.138402</v>
      </c>
    </row>
    <row r="879" spans="1:4">
      <c r="A879" s="16" t="s">
        <v>468</v>
      </c>
      <c r="B879">
        <v>10.098686</v>
      </c>
      <c r="C879">
        <v>0</v>
      </c>
      <c r="D879">
        <v>10.098686</v>
      </c>
    </row>
    <row r="880" spans="1:4">
      <c r="A880" s="28" t="s">
        <v>10</v>
      </c>
      <c r="B880">
        <v>10.098686</v>
      </c>
      <c r="C880">
        <v>0</v>
      </c>
      <c r="D880">
        <v>10.098686</v>
      </c>
    </row>
    <row r="881" spans="1:4">
      <c r="A881" s="16" t="s">
        <v>469</v>
      </c>
      <c r="B881">
        <v>0</v>
      </c>
      <c r="C881">
        <v>17.148524</v>
      </c>
      <c r="D881">
        <v>17.148524</v>
      </c>
    </row>
    <row r="882" spans="1:4">
      <c r="A882" s="28" t="s">
        <v>10</v>
      </c>
      <c r="B882">
        <v>0</v>
      </c>
      <c r="C882">
        <v>17.148524</v>
      </c>
      <c r="D882">
        <v>17.148524</v>
      </c>
    </row>
    <row r="883" spans="1:4">
      <c r="A883" s="16" t="s">
        <v>470</v>
      </c>
      <c r="B883">
        <v>2.4912</v>
      </c>
      <c r="C883">
        <v>0</v>
      </c>
      <c r="D883">
        <v>2.4912</v>
      </c>
    </row>
    <row r="884" spans="1:4">
      <c r="A884" s="28" t="s">
        <v>10</v>
      </c>
      <c r="B884">
        <v>2.4912</v>
      </c>
      <c r="C884">
        <v>0</v>
      </c>
      <c r="D884">
        <v>2.4912</v>
      </c>
    </row>
    <row r="885" spans="1:4">
      <c r="A885" s="16" t="s">
        <v>471</v>
      </c>
      <c r="B885">
        <v>0</v>
      </c>
      <c r="C885">
        <v>0.548482</v>
      </c>
      <c r="D885">
        <v>0.548482</v>
      </c>
    </row>
    <row r="886" spans="1:4">
      <c r="A886" s="28" t="s">
        <v>10</v>
      </c>
      <c r="B886">
        <v>0</v>
      </c>
      <c r="C886">
        <v>0.548482</v>
      </c>
      <c r="D886">
        <v>0.548482</v>
      </c>
    </row>
    <row r="887" spans="1:4">
      <c r="A887" s="16" t="s">
        <v>472</v>
      </c>
      <c r="B887">
        <v>0</v>
      </c>
      <c r="C887">
        <v>0.225504</v>
      </c>
      <c r="D887">
        <v>0.225504</v>
      </c>
    </row>
    <row r="888" spans="1:4">
      <c r="A888" s="28" t="s">
        <v>10</v>
      </c>
      <c r="B888">
        <v>0</v>
      </c>
      <c r="C888">
        <v>0.225504</v>
      </c>
      <c r="D888">
        <v>0.225504</v>
      </c>
    </row>
    <row r="889" spans="1:4">
      <c r="A889" s="16" t="s">
        <v>473</v>
      </c>
      <c r="B889">
        <v>0.09873</v>
      </c>
      <c r="C889">
        <v>0.09567</v>
      </c>
      <c r="D889">
        <v>0.1944</v>
      </c>
    </row>
    <row r="890" spans="1:4">
      <c r="A890" s="28" t="s">
        <v>10</v>
      </c>
      <c r="B890">
        <v>0.09873</v>
      </c>
      <c r="C890">
        <v>0.09567</v>
      </c>
      <c r="D890">
        <v>0.1944</v>
      </c>
    </row>
    <row r="891" spans="1:4">
      <c r="A891" s="16" t="s">
        <v>474</v>
      </c>
      <c r="B891">
        <v>0</v>
      </c>
      <c r="C891">
        <v>3.71169</v>
      </c>
      <c r="D891">
        <v>3.71169</v>
      </c>
    </row>
    <row r="892" spans="1:4">
      <c r="A892" s="28" t="s">
        <v>10</v>
      </c>
      <c r="B892">
        <v>0</v>
      </c>
      <c r="C892">
        <v>3.71169</v>
      </c>
      <c r="D892">
        <v>3.71169</v>
      </c>
    </row>
    <row r="893" spans="1:4">
      <c r="A893" s="16" t="s">
        <v>475</v>
      </c>
      <c r="B893">
        <v>1.7496</v>
      </c>
      <c r="C893">
        <v>0</v>
      </c>
      <c r="D893">
        <v>1.7496</v>
      </c>
    </row>
    <row r="894" spans="1:4">
      <c r="A894" s="28" t="s">
        <v>476</v>
      </c>
      <c r="B894">
        <v>1.7496</v>
      </c>
      <c r="C894">
        <v>0</v>
      </c>
      <c r="D894">
        <v>1.7496</v>
      </c>
    </row>
    <row r="895" spans="1:4">
      <c r="A895" s="16" t="s">
        <v>477</v>
      </c>
      <c r="B895">
        <v>0.24984</v>
      </c>
      <c r="C895">
        <v>0</v>
      </c>
      <c r="D895">
        <v>0.24984</v>
      </c>
    </row>
    <row r="896" spans="1:4">
      <c r="A896" s="28" t="s">
        <v>10</v>
      </c>
      <c r="B896">
        <v>0.24984</v>
      </c>
      <c r="C896">
        <v>0</v>
      </c>
      <c r="D896">
        <v>0.24984</v>
      </c>
    </row>
    <row r="897" spans="1:4">
      <c r="A897" s="16" t="s">
        <v>478</v>
      </c>
      <c r="B897">
        <v>0.1944</v>
      </c>
      <c r="C897">
        <v>0</v>
      </c>
      <c r="D897">
        <v>0.1944</v>
      </c>
    </row>
    <row r="898" spans="1:4">
      <c r="A898" s="28" t="s">
        <v>10</v>
      </c>
      <c r="B898">
        <v>0.1944</v>
      </c>
      <c r="C898">
        <v>0</v>
      </c>
      <c r="D898">
        <v>0.1944</v>
      </c>
    </row>
    <row r="899" spans="1:4">
      <c r="A899" s="16" t="s">
        <v>479</v>
      </c>
      <c r="B899">
        <v>6.679508</v>
      </c>
      <c r="C899">
        <v>10.259042</v>
      </c>
      <c r="D899">
        <v>16.93855</v>
      </c>
    </row>
    <row r="900" spans="1:4">
      <c r="A900" s="28" t="s">
        <v>10</v>
      </c>
      <c r="B900">
        <v>6.679508</v>
      </c>
      <c r="C900">
        <v>10.259042</v>
      </c>
      <c r="D900">
        <v>16.93855</v>
      </c>
    </row>
    <row r="901" spans="1:4">
      <c r="A901" s="16" t="s">
        <v>480</v>
      </c>
      <c r="B901">
        <v>2.88288</v>
      </c>
      <c r="C901">
        <v>0</v>
      </c>
      <c r="D901">
        <v>2.88288</v>
      </c>
    </row>
    <row r="902" spans="1:4">
      <c r="A902" s="28" t="s">
        <v>10</v>
      </c>
      <c r="B902">
        <v>2.88288</v>
      </c>
      <c r="C902">
        <v>0</v>
      </c>
      <c r="D902">
        <v>2.88288</v>
      </c>
    </row>
    <row r="903" spans="1:4">
      <c r="A903" s="16" t="s">
        <v>481</v>
      </c>
      <c r="B903">
        <v>1.413378</v>
      </c>
      <c r="C903">
        <v>4.61304</v>
      </c>
      <c r="D903">
        <v>6.026418</v>
      </c>
    </row>
    <row r="904" spans="1:4">
      <c r="A904" s="28" t="s">
        <v>482</v>
      </c>
      <c r="B904">
        <v>1.413378</v>
      </c>
      <c r="C904">
        <v>4.61304</v>
      </c>
      <c r="D904">
        <v>6.026418</v>
      </c>
    </row>
    <row r="905" spans="1:4">
      <c r="A905" s="16" t="s">
        <v>483</v>
      </c>
      <c r="B905">
        <v>0.972</v>
      </c>
      <c r="C905">
        <v>0</v>
      </c>
      <c r="D905">
        <v>0.972</v>
      </c>
    </row>
    <row r="906" spans="1:4">
      <c r="A906" s="28" t="s">
        <v>10</v>
      </c>
      <c r="B906">
        <v>0.972</v>
      </c>
      <c r="C906">
        <v>0</v>
      </c>
      <c r="D906">
        <v>0.972</v>
      </c>
    </row>
    <row r="907" spans="1:4">
      <c r="A907" s="16" t="s">
        <v>484</v>
      </c>
      <c r="B907">
        <v>0.563843</v>
      </c>
      <c r="C907">
        <v>9.797677</v>
      </c>
      <c r="D907">
        <v>10.36152</v>
      </c>
    </row>
    <row r="908" spans="1:4">
      <c r="A908" s="28" t="s">
        <v>10</v>
      </c>
      <c r="B908">
        <v>0.563843</v>
      </c>
      <c r="C908">
        <v>9.797677</v>
      </c>
      <c r="D908">
        <v>10.36152</v>
      </c>
    </row>
    <row r="909" spans="1:4">
      <c r="A909" s="16" t="s">
        <v>485</v>
      </c>
      <c r="B909">
        <v>0</v>
      </c>
      <c r="C909">
        <v>3.58848</v>
      </c>
      <c r="D909">
        <v>3.58848</v>
      </c>
    </row>
    <row r="910" spans="1:4">
      <c r="A910" s="28" t="s">
        <v>10</v>
      </c>
      <c r="B910">
        <v>0</v>
      </c>
      <c r="C910">
        <v>3.58848</v>
      </c>
      <c r="D910">
        <v>3.58848</v>
      </c>
    </row>
    <row r="911" spans="1:4">
      <c r="A911" s="16" t="s">
        <v>486</v>
      </c>
      <c r="B911">
        <v>0</v>
      </c>
      <c r="C911">
        <v>0.176999</v>
      </c>
      <c r="D911">
        <v>0.176999</v>
      </c>
    </row>
    <row r="912" spans="1:4">
      <c r="A912" s="28" t="s">
        <v>10</v>
      </c>
      <c r="B912">
        <v>0</v>
      </c>
      <c r="C912">
        <v>0.176999</v>
      </c>
      <c r="D912">
        <v>0.176999</v>
      </c>
    </row>
    <row r="913" spans="1:4">
      <c r="A913" s="16" t="s">
        <v>487</v>
      </c>
      <c r="B913">
        <v>3.776615</v>
      </c>
      <c r="C913">
        <v>0</v>
      </c>
      <c r="D913">
        <v>3.776615</v>
      </c>
    </row>
    <row r="914" spans="1:4">
      <c r="A914" s="28" t="s">
        <v>10</v>
      </c>
      <c r="B914">
        <v>3.776615</v>
      </c>
      <c r="C914">
        <v>0</v>
      </c>
      <c r="D914">
        <v>3.776615</v>
      </c>
    </row>
    <row r="915" spans="1:4">
      <c r="A915" s="16" t="s">
        <v>488</v>
      </c>
      <c r="B915">
        <v>36.878217</v>
      </c>
      <c r="C915">
        <v>14.224686</v>
      </c>
      <c r="D915">
        <v>51.102903</v>
      </c>
    </row>
    <row r="916" spans="1:4">
      <c r="A916" s="28" t="s">
        <v>10</v>
      </c>
      <c r="B916">
        <v>36.878217</v>
      </c>
      <c r="C916">
        <v>14.224686</v>
      </c>
      <c r="D916">
        <v>51.102903</v>
      </c>
    </row>
    <row r="917" spans="1:4">
      <c r="A917" s="16" t="s">
        <v>489</v>
      </c>
      <c r="B917">
        <v>0.1944</v>
      </c>
      <c r="C917">
        <v>0</v>
      </c>
      <c r="D917">
        <v>0.1944</v>
      </c>
    </row>
    <row r="918" spans="1:4">
      <c r="A918" s="28" t="s">
        <v>10</v>
      </c>
      <c r="B918">
        <v>0.1944</v>
      </c>
      <c r="C918">
        <v>0</v>
      </c>
      <c r="D918">
        <v>0.1944</v>
      </c>
    </row>
    <row r="919" spans="1:4">
      <c r="A919" s="16" t="s">
        <v>490</v>
      </c>
      <c r="B919">
        <v>4.078856</v>
      </c>
      <c r="C919">
        <v>7.145808</v>
      </c>
      <c r="D919">
        <v>11.224664</v>
      </c>
    </row>
    <row r="920" spans="1:4">
      <c r="A920" s="28" t="s">
        <v>491</v>
      </c>
      <c r="B920">
        <v>4.078856</v>
      </c>
      <c r="C920">
        <v>7.145808</v>
      </c>
      <c r="D920">
        <v>11.224664</v>
      </c>
    </row>
    <row r="921" spans="1:4">
      <c r="A921" s="16" t="s">
        <v>492</v>
      </c>
      <c r="B921">
        <v>0.24984</v>
      </c>
      <c r="C921">
        <v>0</v>
      </c>
      <c r="D921">
        <v>0.24984</v>
      </c>
    </row>
    <row r="922" spans="1:4">
      <c r="A922" s="28" t="s">
        <v>10</v>
      </c>
      <c r="B922">
        <v>0.24984</v>
      </c>
      <c r="C922">
        <v>0</v>
      </c>
      <c r="D922">
        <v>0.24984</v>
      </c>
    </row>
    <row r="923" spans="1:4">
      <c r="A923" s="16" t="s">
        <v>493</v>
      </c>
      <c r="B923">
        <v>5.796</v>
      </c>
      <c r="C923">
        <v>0</v>
      </c>
      <c r="D923">
        <v>5.796</v>
      </c>
    </row>
    <row r="924" spans="1:4">
      <c r="A924" s="28" t="s">
        <v>10</v>
      </c>
      <c r="B924">
        <v>5.796</v>
      </c>
      <c r="C924">
        <v>0</v>
      </c>
      <c r="D924">
        <v>5.796</v>
      </c>
    </row>
    <row r="925" spans="1:4">
      <c r="A925" s="16" t="s">
        <v>494</v>
      </c>
      <c r="B925">
        <v>1453.636672</v>
      </c>
      <c r="C925">
        <v>2.78919</v>
      </c>
      <c r="D925">
        <v>1456.425862</v>
      </c>
    </row>
    <row r="926" spans="1:4">
      <c r="A926" s="28" t="s">
        <v>10</v>
      </c>
      <c r="B926">
        <v>1453.636672</v>
      </c>
      <c r="C926">
        <v>2.78919</v>
      </c>
      <c r="D926">
        <v>1456.425862</v>
      </c>
    </row>
    <row r="927" spans="1:4">
      <c r="A927" s="16" t="s">
        <v>495</v>
      </c>
      <c r="B927">
        <v>13.929672</v>
      </c>
      <c r="C927">
        <v>0.520398</v>
      </c>
      <c r="D927">
        <v>14.45007</v>
      </c>
    </row>
    <row r="928" spans="1:4">
      <c r="A928" s="28" t="s">
        <v>10</v>
      </c>
      <c r="B928">
        <v>13.929672</v>
      </c>
      <c r="C928">
        <v>0.520398</v>
      </c>
      <c r="D928">
        <v>14.45007</v>
      </c>
    </row>
    <row r="929" spans="1:4">
      <c r="A929" s="16" t="s">
        <v>496</v>
      </c>
      <c r="B929">
        <v>0.094958</v>
      </c>
      <c r="C929">
        <v>10</v>
      </c>
      <c r="D929">
        <v>10.094958</v>
      </c>
    </row>
    <row r="930" spans="1:4">
      <c r="A930" s="28" t="s">
        <v>10</v>
      </c>
      <c r="B930">
        <v>0.094958</v>
      </c>
      <c r="C930">
        <v>10</v>
      </c>
      <c r="D930">
        <v>10.094958</v>
      </c>
    </row>
    <row r="931" spans="1:4">
      <c r="A931" s="16" t="s">
        <v>497</v>
      </c>
      <c r="B931">
        <v>1.46664</v>
      </c>
      <c r="C931">
        <v>0</v>
      </c>
      <c r="D931">
        <v>1.46664</v>
      </c>
    </row>
    <row r="932" spans="1:4">
      <c r="A932" s="28" t="s">
        <v>10</v>
      </c>
      <c r="B932">
        <v>1.46664</v>
      </c>
      <c r="C932">
        <v>0</v>
      </c>
      <c r="D932">
        <v>1.46664</v>
      </c>
    </row>
    <row r="933" spans="1:4">
      <c r="A933" s="16" t="s">
        <v>498</v>
      </c>
      <c r="B933">
        <v>523.556484</v>
      </c>
      <c r="C933">
        <v>19.153779</v>
      </c>
      <c r="D933">
        <v>542.710263</v>
      </c>
    </row>
    <row r="934" spans="1:4">
      <c r="A934" s="28" t="s">
        <v>10</v>
      </c>
      <c r="B934">
        <v>523.556484</v>
      </c>
      <c r="C934">
        <v>19.153779</v>
      </c>
      <c r="D934">
        <v>542.710263</v>
      </c>
    </row>
    <row r="935" spans="1:4">
      <c r="A935" s="16" t="s">
        <v>499</v>
      </c>
      <c r="B935">
        <v>49.044316</v>
      </c>
      <c r="C935">
        <v>6.021448</v>
      </c>
      <c r="D935">
        <v>55.065764</v>
      </c>
    </row>
    <row r="936" spans="1:4">
      <c r="A936" s="28" t="s">
        <v>10</v>
      </c>
      <c r="B936">
        <v>49.044316</v>
      </c>
      <c r="C936">
        <v>6.021448</v>
      </c>
      <c r="D936">
        <v>55.065764</v>
      </c>
    </row>
    <row r="937" spans="1:4">
      <c r="A937" s="16" t="s">
        <v>500</v>
      </c>
      <c r="B937">
        <v>0.51768</v>
      </c>
      <c r="C937">
        <v>0</v>
      </c>
      <c r="D937">
        <v>0.51768</v>
      </c>
    </row>
    <row r="938" spans="1:4">
      <c r="A938" s="28" t="s">
        <v>10</v>
      </c>
      <c r="B938">
        <v>0.51768</v>
      </c>
      <c r="C938">
        <v>0</v>
      </c>
      <c r="D938">
        <v>0.51768</v>
      </c>
    </row>
    <row r="939" spans="1:4">
      <c r="A939" s="16" t="s">
        <v>501</v>
      </c>
      <c r="B939">
        <v>0.1944</v>
      </c>
      <c r="C939">
        <v>0</v>
      </c>
      <c r="D939">
        <v>0.1944</v>
      </c>
    </row>
    <row r="940" spans="1:4">
      <c r="A940" s="28" t="s">
        <v>10</v>
      </c>
      <c r="B940">
        <v>0.1944</v>
      </c>
      <c r="C940">
        <v>0</v>
      </c>
      <c r="D940">
        <v>0.1944</v>
      </c>
    </row>
    <row r="941" spans="1:4">
      <c r="A941" s="16" t="s">
        <v>502</v>
      </c>
      <c r="B941">
        <v>0.23922</v>
      </c>
      <c r="C941">
        <v>0.14958</v>
      </c>
      <c r="D941">
        <v>0.3888</v>
      </c>
    </row>
    <row r="942" spans="1:4">
      <c r="A942" s="28" t="s">
        <v>10</v>
      </c>
      <c r="B942">
        <v>0.23922</v>
      </c>
      <c r="C942">
        <v>0.14958</v>
      </c>
      <c r="D942">
        <v>0.3888</v>
      </c>
    </row>
    <row r="943" spans="1:4">
      <c r="A943" s="16" t="s">
        <v>503</v>
      </c>
      <c r="B943">
        <v>0</v>
      </c>
      <c r="C943">
        <v>192.457068</v>
      </c>
      <c r="D943">
        <v>192.457068</v>
      </c>
    </row>
    <row r="944" spans="1:4">
      <c r="A944" s="28" t="s">
        <v>10</v>
      </c>
      <c r="B944">
        <v>0</v>
      </c>
      <c r="C944">
        <v>192.457068</v>
      </c>
      <c r="D944">
        <v>192.457068</v>
      </c>
    </row>
    <row r="945" spans="1:4">
      <c r="A945" s="16" t="s">
        <v>504</v>
      </c>
      <c r="B945">
        <v>31.3656</v>
      </c>
      <c r="C945">
        <v>13.975548</v>
      </c>
      <c r="D945">
        <v>45.341148</v>
      </c>
    </row>
    <row r="946" spans="1:4">
      <c r="A946" s="28" t="s">
        <v>10</v>
      </c>
      <c r="B946">
        <v>31.3656</v>
      </c>
      <c r="C946">
        <v>13.975548</v>
      </c>
      <c r="D946">
        <v>45.341148</v>
      </c>
    </row>
    <row r="947" spans="1:4">
      <c r="A947" s="16" t="s">
        <v>505</v>
      </c>
      <c r="B947">
        <v>1.3608</v>
      </c>
      <c r="C947">
        <v>0</v>
      </c>
      <c r="D947">
        <v>1.3608</v>
      </c>
    </row>
    <row r="948" spans="1:4">
      <c r="A948" s="28" t="s">
        <v>10</v>
      </c>
      <c r="B948">
        <v>1.3608</v>
      </c>
      <c r="C948">
        <v>0</v>
      </c>
      <c r="D948">
        <v>1.3608</v>
      </c>
    </row>
    <row r="949" spans="1:4">
      <c r="A949" s="16" t="s">
        <v>506</v>
      </c>
      <c r="B949">
        <v>8.757138</v>
      </c>
      <c r="C949">
        <v>2.724702</v>
      </c>
      <c r="D949">
        <v>11.48184</v>
      </c>
    </row>
    <row r="950" spans="1:4">
      <c r="A950" s="28" t="s">
        <v>10</v>
      </c>
      <c r="B950">
        <v>8.757138</v>
      </c>
      <c r="C950">
        <v>2.724702</v>
      </c>
      <c r="D950">
        <v>11.48184</v>
      </c>
    </row>
    <row r="951" spans="1:4">
      <c r="A951" s="16" t="s">
        <v>507</v>
      </c>
      <c r="B951">
        <v>0</v>
      </c>
      <c r="C951">
        <v>0.03495</v>
      </c>
      <c r="D951">
        <v>0.03495</v>
      </c>
    </row>
    <row r="952" spans="1:4">
      <c r="A952" s="28" t="s">
        <v>10</v>
      </c>
      <c r="B952">
        <v>0</v>
      </c>
      <c r="C952">
        <v>0.03495</v>
      </c>
      <c r="D952">
        <v>0.03495</v>
      </c>
    </row>
    <row r="953" spans="1:4">
      <c r="A953" s="16" t="s">
        <v>508</v>
      </c>
      <c r="B953">
        <v>0.1944</v>
      </c>
      <c r="C953">
        <v>0</v>
      </c>
      <c r="D953">
        <v>0.1944</v>
      </c>
    </row>
    <row r="954" spans="1:4">
      <c r="A954" s="28" t="s">
        <v>10</v>
      </c>
      <c r="B954">
        <v>0.1944</v>
      </c>
      <c r="C954">
        <v>0</v>
      </c>
      <c r="D954">
        <v>0.1944</v>
      </c>
    </row>
    <row r="955" spans="1:4">
      <c r="A955" s="16" t="s">
        <v>509</v>
      </c>
      <c r="B955">
        <v>2.599555</v>
      </c>
      <c r="C955">
        <v>5.609393</v>
      </c>
      <c r="D955">
        <v>8.208948</v>
      </c>
    </row>
    <row r="956" spans="1:4">
      <c r="A956" s="28" t="s">
        <v>10</v>
      </c>
      <c r="B956">
        <v>2.599555</v>
      </c>
      <c r="C956">
        <v>5.609393</v>
      </c>
      <c r="D956">
        <v>8.208948</v>
      </c>
    </row>
    <row r="957" spans="1:4">
      <c r="A957" s="16" t="s">
        <v>510</v>
      </c>
      <c r="B957">
        <v>44.269936</v>
      </c>
      <c r="C957">
        <v>13.091024</v>
      </c>
      <c r="D957">
        <v>57.36096</v>
      </c>
    </row>
    <row r="958" spans="1:4">
      <c r="A958" s="28" t="s">
        <v>511</v>
      </c>
      <c r="B958">
        <v>44.269936</v>
      </c>
      <c r="C958">
        <v>13.091024</v>
      </c>
      <c r="D958">
        <v>57.36096</v>
      </c>
    </row>
    <row r="959" spans="1:4">
      <c r="A959" s="16" t="s">
        <v>512</v>
      </c>
      <c r="B959">
        <v>0</v>
      </c>
      <c r="C959">
        <v>2.48472</v>
      </c>
      <c r="D959">
        <v>2.48472</v>
      </c>
    </row>
    <row r="960" spans="1:4">
      <c r="A960" s="28" t="s">
        <v>10</v>
      </c>
      <c r="B960">
        <v>0</v>
      </c>
      <c r="C960">
        <v>2.48472</v>
      </c>
      <c r="D960">
        <v>2.48472</v>
      </c>
    </row>
    <row r="961" spans="1:4">
      <c r="A961" s="16" t="s">
        <v>513</v>
      </c>
      <c r="B961">
        <v>0</v>
      </c>
      <c r="C961">
        <v>40908.230192</v>
      </c>
      <c r="D961">
        <v>40908.230192</v>
      </c>
    </row>
    <row r="962" spans="1:4">
      <c r="A962" s="28" t="s">
        <v>514</v>
      </c>
      <c r="B962">
        <v>0</v>
      </c>
      <c r="C962">
        <v>40908.230192</v>
      </c>
      <c r="D962">
        <v>40908.230192</v>
      </c>
    </row>
    <row r="963" spans="1:4">
      <c r="A963" s="16" t="s">
        <v>515</v>
      </c>
      <c r="B963">
        <v>0.1944</v>
      </c>
      <c r="C963">
        <v>0</v>
      </c>
      <c r="D963">
        <v>0.1944</v>
      </c>
    </row>
    <row r="964" spans="1:4">
      <c r="A964" s="28" t="s">
        <v>10</v>
      </c>
      <c r="B964">
        <v>0.1944</v>
      </c>
      <c r="C964">
        <v>0</v>
      </c>
      <c r="D964">
        <v>0.1944</v>
      </c>
    </row>
    <row r="965" spans="1:4">
      <c r="A965" s="16" t="s">
        <v>516</v>
      </c>
      <c r="B965">
        <v>13021.492205</v>
      </c>
      <c r="C965">
        <v>7.5</v>
      </c>
      <c r="D965">
        <v>13028.992205</v>
      </c>
    </row>
    <row r="966" spans="1:4">
      <c r="A966" s="28" t="s">
        <v>517</v>
      </c>
      <c r="B966">
        <v>13021.492205</v>
      </c>
      <c r="C966">
        <v>7.5</v>
      </c>
      <c r="D966">
        <v>13028.992205</v>
      </c>
    </row>
    <row r="967" spans="1:4">
      <c r="A967" s="16" t="s">
        <v>518</v>
      </c>
      <c r="B967">
        <v>2.106</v>
      </c>
      <c r="C967">
        <v>0</v>
      </c>
      <c r="D967">
        <v>2.106</v>
      </c>
    </row>
    <row r="968" spans="1:4">
      <c r="A968" s="28" t="s">
        <v>10</v>
      </c>
      <c r="B968">
        <v>2.106</v>
      </c>
      <c r="C968">
        <v>0</v>
      </c>
      <c r="D968">
        <v>2.106</v>
      </c>
    </row>
    <row r="969" spans="1:4">
      <c r="A969" s="16" t="s">
        <v>519</v>
      </c>
      <c r="B969">
        <v>1.08648</v>
      </c>
      <c r="C969">
        <v>0</v>
      </c>
      <c r="D969">
        <v>1.08648</v>
      </c>
    </row>
    <row r="970" spans="1:4">
      <c r="A970" s="28" t="s">
        <v>10</v>
      </c>
      <c r="B970">
        <v>1.08648</v>
      </c>
      <c r="C970">
        <v>0</v>
      </c>
      <c r="D970">
        <v>1.08648</v>
      </c>
    </row>
    <row r="971" spans="1:4">
      <c r="A971" s="16" t="s">
        <v>520</v>
      </c>
      <c r="B971">
        <v>1.904253</v>
      </c>
      <c r="C971">
        <v>1.006707</v>
      </c>
      <c r="D971">
        <v>2.91096</v>
      </c>
    </row>
    <row r="972" spans="1:4">
      <c r="A972" s="28" t="s">
        <v>10</v>
      </c>
      <c r="B972">
        <v>1.904253</v>
      </c>
      <c r="C972">
        <v>1.006707</v>
      </c>
      <c r="D972">
        <v>2.91096</v>
      </c>
    </row>
    <row r="973" spans="1:4">
      <c r="A973" s="16" t="s">
        <v>521</v>
      </c>
      <c r="B973">
        <v>12.30984</v>
      </c>
      <c r="C973">
        <v>0.1944</v>
      </c>
      <c r="D973">
        <v>12.50424</v>
      </c>
    </row>
    <row r="974" spans="1:4">
      <c r="A974" s="28" t="s">
        <v>10</v>
      </c>
      <c r="B974">
        <v>12.30984</v>
      </c>
      <c r="C974">
        <v>0.1944</v>
      </c>
      <c r="D974">
        <v>12.50424</v>
      </c>
    </row>
    <row r="975" spans="1:4">
      <c r="A975" s="16" t="s">
        <v>522</v>
      </c>
      <c r="B975">
        <v>5.77296</v>
      </c>
      <c r="C975">
        <v>0</v>
      </c>
      <c r="D975">
        <v>5.77296</v>
      </c>
    </row>
    <row r="976" spans="1:4">
      <c r="A976" s="28" t="s">
        <v>10</v>
      </c>
      <c r="B976">
        <v>5.77296</v>
      </c>
      <c r="C976">
        <v>0</v>
      </c>
      <c r="D976">
        <v>5.77296</v>
      </c>
    </row>
    <row r="977" spans="1:4">
      <c r="A977" s="16" t="s">
        <v>523</v>
      </c>
      <c r="B977">
        <v>0</v>
      </c>
      <c r="C977">
        <v>334.360001</v>
      </c>
      <c r="D977">
        <v>334.360001</v>
      </c>
    </row>
    <row r="978" spans="1:4">
      <c r="A978" s="28" t="s">
        <v>10</v>
      </c>
      <c r="B978">
        <v>0</v>
      </c>
      <c r="C978">
        <v>334.360001</v>
      </c>
      <c r="D978">
        <v>334.360001</v>
      </c>
    </row>
    <row r="979" spans="1:4">
      <c r="A979" s="16" t="s">
        <v>524</v>
      </c>
      <c r="B979">
        <v>0.84384</v>
      </c>
      <c r="C979">
        <v>0</v>
      </c>
      <c r="D979">
        <v>0.84384</v>
      </c>
    </row>
    <row r="980" spans="1:4">
      <c r="A980" s="28" t="s">
        <v>10</v>
      </c>
      <c r="B980">
        <v>0.84384</v>
      </c>
      <c r="C980">
        <v>0</v>
      </c>
      <c r="D980">
        <v>0.84384</v>
      </c>
    </row>
    <row r="981" spans="1:4">
      <c r="A981" s="16" t="s">
        <v>525</v>
      </c>
      <c r="B981">
        <v>0.1944</v>
      </c>
      <c r="C981">
        <v>0</v>
      </c>
      <c r="D981">
        <v>0.1944</v>
      </c>
    </row>
    <row r="982" spans="1:4">
      <c r="A982" s="28" t="s">
        <v>10</v>
      </c>
      <c r="B982">
        <v>0.1944</v>
      </c>
      <c r="C982">
        <v>0</v>
      </c>
      <c r="D982">
        <v>0.1944</v>
      </c>
    </row>
    <row r="983" spans="1:4">
      <c r="A983" s="16" t="s">
        <v>526</v>
      </c>
      <c r="B983">
        <v>0</v>
      </c>
      <c r="C983">
        <v>3.41856</v>
      </c>
      <c r="D983">
        <v>3.41856</v>
      </c>
    </row>
    <row r="984" spans="1:4">
      <c r="A984" s="28" t="s">
        <v>10</v>
      </c>
      <c r="B984">
        <v>0</v>
      </c>
      <c r="C984">
        <v>3.41856</v>
      </c>
      <c r="D984">
        <v>3.41856</v>
      </c>
    </row>
    <row r="985" spans="1:4">
      <c r="A985" s="16" t="s">
        <v>527</v>
      </c>
      <c r="B985">
        <v>0.24984</v>
      </c>
      <c r="C985">
        <v>0</v>
      </c>
      <c r="D985">
        <v>0.24984</v>
      </c>
    </row>
    <row r="986" spans="1:4">
      <c r="A986" s="28" t="s">
        <v>10</v>
      </c>
      <c r="B986">
        <v>0.24984</v>
      </c>
      <c r="C986">
        <v>0</v>
      </c>
      <c r="D986">
        <v>0.24984</v>
      </c>
    </row>
    <row r="987" spans="1:4">
      <c r="A987" s="16" t="s">
        <v>528</v>
      </c>
      <c r="B987">
        <v>18814.949108</v>
      </c>
      <c r="C987">
        <v>19.492043</v>
      </c>
      <c r="D987">
        <v>18834.441151</v>
      </c>
    </row>
    <row r="988" spans="1:4">
      <c r="A988" s="28" t="s">
        <v>529</v>
      </c>
      <c r="B988">
        <v>18814.949108</v>
      </c>
      <c r="C988">
        <v>19.492043</v>
      </c>
      <c r="D988">
        <v>18834.441151</v>
      </c>
    </row>
    <row r="989" spans="1:4">
      <c r="A989" s="16" t="s">
        <v>530</v>
      </c>
      <c r="B989">
        <v>0.1944</v>
      </c>
      <c r="C989">
        <v>0</v>
      </c>
      <c r="D989">
        <v>0.1944</v>
      </c>
    </row>
    <row r="990" spans="1:4">
      <c r="A990" s="28" t="s">
        <v>10</v>
      </c>
      <c r="B990">
        <v>0.1944</v>
      </c>
      <c r="C990">
        <v>0</v>
      </c>
      <c r="D990">
        <v>0.1944</v>
      </c>
    </row>
    <row r="991" spans="1:4">
      <c r="A991" s="16" t="s">
        <v>531</v>
      </c>
      <c r="B991">
        <v>0</v>
      </c>
      <c r="C991">
        <v>0.1944</v>
      </c>
      <c r="D991">
        <v>0.1944</v>
      </c>
    </row>
    <row r="992" spans="1:4">
      <c r="A992" s="28" t="s">
        <v>10</v>
      </c>
      <c r="B992">
        <v>0</v>
      </c>
      <c r="C992">
        <v>0.1944</v>
      </c>
      <c r="D992">
        <v>0.1944</v>
      </c>
    </row>
    <row r="993" spans="1:4">
      <c r="A993" s="16" t="s">
        <v>532</v>
      </c>
      <c r="B993">
        <v>0</v>
      </c>
      <c r="C993">
        <v>0.1944</v>
      </c>
      <c r="D993">
        <v>0.1944</v>
      </c>
    </row>
    <row r="994" spans="1:4">
      <c r="A994" s="28" t="s">
        <v>10</v>
      </c>
      <c r="B994">
        <v>0</v>
      </c>
      <c r="C994">
        <v>0.1944</v>
      </c>
      <c r="D994">
        <v>0.1944</v>
      </c>
    </row>
    <row r="995" spans="1:4">
      <c r="A995" s="16" t="s">
        <v>533</v>
      </c>
      <c r="B995">
        <v>0.1944</v>
      </c>
      <c r="C995">
        <v>0</v>
      </c>
      <c r="D995">
        <v>0.1944</v>
      </c>
    </row>
    <row r="996" spans="1:4">
      <c r="A996" s="28" t="s">
        <v>10</v>
      </c>
      <c r="B996">
        <v>0.1944</v>
      </c>
      <c r="C996">
        <v>0</v>
      </c>
      <c r="D996">
        <v>0.1944</v>
      </c>
    </row>
    <row r="997" spans="1:4">
      <c r="A997" s="16" t="s">
        <v>534</v>
      </c>
      <c r="B997">
        <v>0.48312</v>
      </c>
      <c r="C997">
        <v>0</v>
      </c>
      <c r="D997">
        <v>0.48312</v>
      </c>
    </row>
    <row r="998" spans="1:4">
      <c r="A998" s="28" t="s">
        <v>10</v>
      </c>
      <c r="B998">
        <v>0.48312</v>
      </c>
      <c r="C998">
        <v>0</v>
      </c>
      <c r="D998">
        <v>0.48312</v>
      </c>
    </row>
    <row r="999" spans="1:4">
      <c r="A999" s="16" t="s">
        <v>535</v>
      </c>
      <c r="B999">
        <v>0.146115</v>
      </c>
      <c r="C999">
        <v>0.004095</v>
      </c>
      <c r="D999">
        <v>0.15021</v>
      </c>
    </row>
    <row r="1000" spans="1:4">
      <c r="A1000" s="28" t="s">
        <v>10</v>
      </c>
      <c r="B1000">
        <v>0.146115</v>
      </c>
      <c r="C1000">
        <v>0.004095</v>
      </c>
      <c r="D1000">
        <v>0.15021</v>
      </c>
    </row>
    <row r="1001" spans="1:4">
      <c r="A1001" s="16" t="s">
        <v>536</v>
      </c>
      <c r="B1001">
        <v>0.1944</v>
      </c>
      <c r="C1001">
        <v>0</v>
      </c>
      <c r="D1001">
        <v>0.1944</v>
      </c>
    </row>
    <row r="1002" spans="1:4">
      <c r="A1002" s="28" t="s">
        <v>10</v>
      </c>
      <c r="B1002">
        <v>0.1944</v>
      </c>
      <c r="C1002">
        <v>0</v>
      </c>
      <c r="D1002">
        <v>0.1944</v>
      </c>
    </row>
    <row r="1003" spans="1:4">
      <c r="A1003" s="16" t="s">
        <v>537</v>
      </c>
      <c r="B1003">
        <v>25.914887</v>
      </c>
      <c r="C1003">
        <v>7</v>
      </c>
      <c r="D1003">
        <v>32.914887</v>
      </c>
    </row>
    <row r="1004" spans="1:4">
      <c r="A1004" s="28" t="s">
        <v>10</v>
      </c>
      <c r="B1004">
        <v>25.914887</v>
      </c>
      <c r="C1004">
        <v>7</v>
      </c>
      <c r="D1004">
        <v>32.914887</v>
      </c>
    </row>
    <row r="1005" spans="1:4">
      <c r="A1005" s="16" t="s">
        <v>538</v>
      </c>
      <c r="B1005">
        <v>0.1944</v>
      </c>
      <c r="C1005">
        <v>0</v>
      </c>
      <c r="D1005">
        <v>0.1944</v>
      </c>
    </row>
    <row r="1006" spans="1:4">
      <c r="A1006" s="28" t="s">
        <v>10</v>
      </c>
      <c r="B1006">
        <v>0.1944</v>
      </c>
      <c r="C1006">
        <v>0</v>
      </c>
      <c r="D1006">
        <v>0.1944</v>
      </c>
    </row>
    <row r="1007" spans="1:4">
      <c r="A1007" s="16" t="s">
        <v>539</v>
      </c>
      <c r="B1007">
        <v>0.1944</v>
      </c>
      <c r="C1007">
        <v>0</v>
      </c>
      <c r="D1007">
        <v>0.1944</v>
      </c>
    </row>
    <row r="1008" spans="1:4">
      <c r="A1008" s="28" t="s">
        <v>10</v>
      </c>
      <c r="B1008">
        <v>0.1944</v>
      </c>
      <c r="C1008">
        <v>0</v>
      </c>
      <c r="D1008">
        <v>0.1944</v>
      </c>
    </row>
    <row r="1009" spans="1:4">
      <c r="A1009" s="16" t="s">
        <v>540</v>
      </c>
      <c r="B1009">
        <v>0.1944</v>
      </c>
      <c r="C1009">
        <v>0</v>
      </c>
      <c r="D1009">
        <v>0.1944</v>
      </c>
    </row>
    <row r="1010" spans="1:4">
      <c r="A1010" s="28" t="s">
        <v>10</v>
      </c>
      <c r="B1010">
        <v>0.1944</v>
      </c>
      <c r="C1010">
        <v>0</v>
      </c>
      <c r="D1010">
        <v>0.1944</v>
      </c>
    </row>
    <row r="1011" spans="1:4">
      <c r="A1011" s="16" t="s">
        <v>541</v>
      </c>
      <c r="B1011">
        <v>0.1944</v>
      </c>
      <c r="C1011">
        <v>0</v>
      </c>
      <c r="D1011">
        <v>0.1944</v>
      </c>
    </row>
    <row r="1012" spans="1:4">
      <c r="A1012" s="28" t="s">
        <v>10</v>
      </c>
      <c r="B1012">
        <v>0.1944</v>
      </c>
      <c r="C1012">
        <v>0</v>
      </c>
      <c r="D1012">
        <v>0.1944</v>
      </c>
    </row>
    <row r="1013" spans="1:4">
      <c r="A1013" s="16" t="s">
        <v>542</v>
      </c>
      <c r="B1013">
        <v>0.34128</v>
      </c>
      <c r="C1013">
        <v>0</v>
      </c>
      <c r="D1013">
        <v>0.34128</v>
      </c>
    </row>
    <row r="1014" spans="1:4">
      <c r="A1014" s="28" t="s">
        <v>10</v>
      </c>
      <c r="B1014">
        <v>0.34128</v>
      </c>
      <c r="C1014">
        <v>0</v>
      </c>
      <c r="D1014">
        <v>0.34128</v>
      </c>
    </row>
    <row r="1015" spans="1:4">
      <c r="A1015" s="16" t="s">
        <v>543</v>
      </c>
      <c r="B1015">
        <v>0.1944</v>
      </c>
      <c r="C1015">
        <v>0</v>
      </c>
      <c r="D1015">
        <v>0.1944</v>
      </c>
    </row>
    <row r="1016" spans="1:4">
      <c r="A1016" s="28" t="s">
        <v>10</v>
      </c>
      <c r="B1016">
        <v>0.1944</v>
      </c>
      <c r="C1016">
        <v>0</v>
      </c>
      <c r="D1016">
        <v>0.1944</v>
      </c>
    </row>
    <row r="1017" spans="1:4">
      <c r="A1017" s="16" t="s">
        <v>544</v>
      </c>
      <c r="B1017">
        <v>0.413865</v>
      </c>
      <c r="C1017">
        <v>1.799596</v>
      </c>
      <c r="D1017">
        <v>2.213461</v>
      </c>
    </row>
    <row r="1018" spans="1:4">
      <c r="A1018" s="28" t="s">
        <v>10</v>
      </c>
      <c r="B1018">
        <v>0.413865</v>
      </c>
      <c r="C1018">
        <v>1.799596</v>
      </c>
      <c r="D1018">
        <v>2.213461</v>
      </c>
    </row>
    <row r="1019" spans="1:4">
      <c r="A1019" s="16" t="s">
        <v>545</v>
      </c>
      <c r="B1019">
        <v>0.1944</v>
      </c>
      <c r="C1019">
        <v>0</v>
      </c>
      <c r="D1019">
        <v>0.1944</v>
      </c>
    </row>
    <row r="1020" spans="1:4">
      <c r="A1020" s="28" t="s">
        <v>10</v>
      </c>
      <c r="B1020">
        <v>0.1944</v>
      </c>
      <c r="C1020">
        <v>0</v>
      </c>
      <c r="D1020">
        <v>0.1944</v>
      </c>
    </row>
    <row r="1021" spans="1:4">
      <c r="A1021" s="16" t="s">
        <v>546</v>
      </c>
      <c r="B1021">
        <v>0.1944</v>
      </c>
      <c r="C1021">
        <v>0</v>
      </c>
      <c r="D1021">
        <v>0.1944</v>
      </c>
    </row>
    <row r="1022" spans="1:4">
      <c r="A1022" s="28" t="s">
        <v>10</v>
      </c>
      <c r="B1022">
        <v>0.1944</v>
      </c>
      <c r="C1022">
        <v>0</v>
      </c>
      <c r="D1022">
        <v>0.1944</v>
      </c>
    </row>
    <row r="1023" spans="1:4">
      <c r="A1023" s="16" t="s">
        <v>547</v>
      </c>
      <c r="B1023">
        <v>0.596374</v>
      </c>
      <c r="C1023">
        <v>0.012746</v>
      </c>
      <c r="D1023">
        <v>0.60912</v>
      </c>
    </row>
    <row r="1024" spans="1:4">
      <c r="A1024" s="28" t="s">
        <v>10</v>
      </c>
      <c r="B1024">
        <v>0.596374</v>
      </c>
      <c r="C1024">
        <v>0.012746</v>
      </c>
      <c r="D1024">
        <v>0.60912</v>
      </c>
    </row>
    <row r="1025" spans="1:4">
      <c r="A1025" s="16" t="s">
        <v>548</v>
      </c>
      <c r="B1025">
        <v>5.51304</v>
      </c>
      <c r="C1025">
        <v>0</v>
      </c>
      <c r="D1025">
        <v>5.51304</v>
      </c>
    </row>
    <row r="1026" spans="1:4">
      <c r="A1026" s="28" t="s">
        <v>10</v>
      </c>
      <c r="B1026">
        <v>5.51304</v>
      </c>
      <c r="C1026">
        <v>0</v>
      </c>
      <c r="D1026">
        <v>5.51304</v>
      </c>
    </row>
    <row r="1027" spans="1:4">
      <c r="A1027" s="16" t="s">
        <v>549</v>
      </c>
      <c r="B1027">
        <v>2.48256</v>
      </c>
      <c r="C1027">
        <v>0</v>
      </c>
      <c r="D1027">
        <v>2.48256</v>
      </c>
    </row>
    <row r="1028" spans="1:4">
      <c r="A1028" s="28" t="s">
        <v>10</v>
      </c>
      <c r="B1028">
        <v>2.48256</v>
      </c>
      <c r="C1028">
        <v>0</v>
      </c>
      <c r="D1028">
        <v>2.48256</v>
      </c>
    </row>
    <row r="1029" spans="1:4">
      <c r="A1029" s="16" t="s">
        <v>550</v>
      </c>
      <c r="B1029">
        <v>0.3888</v>
      </c>
      <c r="C1029">
        <v>0</v>
      </c>
      <c r="D1029">
        <v>0.3888</v>
      </c>
    </row>
    <row r="1030" spans="1:4">
      <c r="A1030" s="28" t="s">
        <v>10</v>
      </c>
      <c r="B1030">
        <v>0.3888</v>
      </c>
      <c r="C1030">
        <v>0</v>
      </c>
      <c r="D1030">
        <v>0.3888</v>
      </c>
    </row>
    <row r="1031" spans="1:4">
      <c r="A1031" s="16" t="s">
        <v>551</v>
      </c>
      <c r="B1031">
        <v>0.1944</v>
      </c>
      <c r="C1031">
        <v>0</v>
      </c>
      <c r="D1031">
        <v>0.1944</v>
      </c>
    </row>
    <row r="1032" spans="1:4">
      <c r="A1032" s="28" t="s">
        <v>10</v>
      </c>
      <c r="B1032">
        <v>0.1944</v>
      </c>
      <c r="C1032">
        <v>0</v>
      </c>
      <c r="D1032">
        <v>0.1944</v>
      </c>
    </row>
    <row r="1033" spans="1:4">
      <c r="A1033" s="16" t="s">
        <v>552</v>
      </c>
      <c r="B1033">
        <v>0</v>
      </c>
      <c r="C1033">
        <v>3.67488</v>
      </c>
      <c r="D1033">
        <v>3.67488</v>
      </c>
    </row>
    <row r="1034" spans="1:4">
      <c r="A1034" s="28" t="s">
        <v>10</v>
      </c>
      <c r="B1034">
        <v>0</v>
      </c>
      <c r="C1034">
        <v>3.67488</v>
      </c>
      <c r="D1034">
        <v>3.67488</v>
      </c>
    </row>
    <row r="1035" spans="1:4">
      <c r="A1035" s="16" t="s">
        <v>553</v>
      </c>
      <c r="B1035">
        <v>97611.537081</v>
      </c>
      <c r="C1035">
        <v>16.5</v>
      </c>
      <c r="D1035">
        <v>97628.037081</v>
      </c>
    </row>
    <row r="1036" spans="1:4">
      <c r="A1036" s="28" t="s">
        <v>554</v>
      </c>
      <c r="B1036">
        <v>97611.537081</v>
      </c>
      <c r="C1036">
        <v>16.5</v>
      </c>
      <c r="D1036">
        <v>97628.037081</v>
      </c>
    </row>
    <row r="1037" spans="1:4">
      <c r="A1037" s="16" t="s">
        <v>555</v>
      </c>
      <c r="B1037">
        <v>0.01719</v>
      </c>
      <c r="C1037">
        <v>0.17721</v>
      </c>
      <c r="D1037">
        <v>0.1944</v>
      </c>
    </row>
    <row r="1038" spans="1:4">
      <c r="A1038" s="28" t="s">
        <v>10</v>
      </c>
      <c r="B1038">
        <v>0.01719</v>
      </c>
      <c r="C1038">
        <v>0.17721</v>
      </c>
      <c r="D1038">
        <v>0.1944</v>
      </c>
    </row>
    <row r="1039" spans="1:4">
      <c r="A1039" s="16" t="s">
        <v>556</v>
      </c>
      <c r="B1039">
        <v>3.887827</v>
      </c>
      <c r="C1039">
        <v>0.026711</v>
      </c>
      <c r="D1039">
        <v>3.914538</v>
      </c>
    </row>
    <row r="1040" spans="1:4">
      <c r="A1040" s="28" t="s">
        <v>10</v>
      </c>
      <c r="B1040">
        <v>3.887827</v>
      </c>
      <c r="C1040">
        <v>0.026711</v>
      </c>
      <c r="D1040">
        <v>3.914538</v>
      </c>
    </row>
    <row r="1041" spans="1:4">
      <c r="A1041" s="16" t="s">
        <v>557</v>
      </c>
      <c r="B1041">
        <v>0.1944</v>
      </c>
      <c r="C1041">
        <v>0</v>
      </c>
      <c r="D1041">
        <v>0.1944</v>
      </c>
    </row>
    <row r="1042" spans="1:4">
      <c r="A1042" s="28" t="s">
        <v>10</v>
      </c>
      <c r="B1042">
        <v>0.1944</v>
      </c>
      <c r="C1042">
        <v>0</v>
      </c>
      <c r="D1042">
        <v>0.1944</v>
      </c>
    </row>
    <row r="1043" spans="1:4">
      <c r="A1043" s="16" t="s">
        <v>558</v>
      </c>
      <c r="B1043">
        <v>0</v>
      </c>
      <c r="C1043">
        <v>5.89392</v>
      </c>
      <c r="D1043">
        <v>5.89392</v>
      </c>
    </row>
    <row r="1044" spans="1:4">
      <c r="A1044" s="28" t="s">
        <v>10</v>
      </c>
      <c r="B1044">
        <v>0</v>
      </c>
      <c r="C1044">
        <v>5.89392</v>
      </c>
      <c r="D1044">
        <v>5.89392</v>
      </c>
    </row>
    <row r="1045" spans="1:4">
      <c r="A1045" s="16" t="s">
        <v>559</v>
      </c>
      <c r="B1045">
        <v>0.1944</v>
      </c>
      <c r="C1045">
        <v>0</v>
      </c>
      <c r="D1045">
        <v>0.1944</v>
      </c>
    </row>
    <row r="1046" spans="1:4">
      <c r="A1046" s="28" t="s">
        <v>10</v>
      </c>
      <c r="B1046">
        <v>0.1944</v>
      </c>
      <c r="C1046">
        <v>0</v>
      </c>
      <c r="D1046">
        <v>0.1944</v>
      </c>
    </row>
    <row r="1047" spans="1:4">
      <c r="A1047" s="16" t="s">
        <v>560</v>
      </c>
      <c r="B1047">
        <v>0</v>
      </c>
      <c r="C1047">
        <v>0.1944</v>
      </c>
      <c r="D1047">
        <v>0.1944</v>
      </c>
    </row>
    <row r="1048" spans="1:4">
      <c r="A1048" s="28" t="s">
        <v>10</v>
      </c>
      <c r="B1048">
        <v>0</v>
      </c>
      <c r="C1048">
        <v>0.1944</v>
      </c>
      <c r="D1048">
        <v>0.1944</v>
      </c>
    </row>
    <row r="1049" spans="1:4">
      <c r="A1049" s="16" t="s">
        <v>561</v>
      </c>
      <c r="B1049">
        <v>0.1944</v>
      </c>
      <c r="C1049">
        <v>0</v>
      </c>
      <c r="D1049">
        <v>0.1944</v>
      </c>
    </row>
    <row r="1050" spans="1:4">
      <c r="A1050" s="28" t="s">
        <v>10</v>
      </c>
      <c r="B1050">
        <v>0.1944</v>
      </c>
      <c r="C1050">
        <v>0</v>
      </c>
      <c r="D1050">
        <v>0.1944</v>
      </c>
    </row>
    <row r="1051" spans="1:4">
      <c r="A1051" s="16" t="s">
        <v>562</v>
      </c>
      <c r="B1051">
        <v>2466.854826</v>
      </c>
      <c r="C1051">
        <v>0</v>
      </c>
      <c r="D1051">
        <v>2466.854826</v>
      </c>
    </row>
    <row r="1052" spans="1:4">
      <c r="A1052" s="28" t="s">
        <v>563</v>
      </c>
      <c r="B1052">
        <v>2466.854826</v>
      </c>
      <c r="C1052">
        <v>0</v>
      </c>
      <c r="D1052">
        <v>2466.854826</v>
      </c>
    </row>
    <row r="1053" spans="1:4">
      <c r="A1053" s="16" t="s">
        <v>564</v>
      </c>
      <c r="B1053">
        <v>0.118364</v>
      </c>
      <c r="C1053">
        <v>0</v>
      </c>
      <c r="D1053">
        <v>0.118364</v>
      </c>
    </row>
    <row r="1054" spans="1:4">
      <c r="A1054" s="28" t="s">
        <v>10</v>
      </c>
      <c r="B1054">
        <v>0.118364</v>
      </c>
      <c r="C1054">
        <v>0</v>
      </c>
      <c r="D1054">
        <v>0.118364</v>
      </c>
    </row>
    <row r="1055" spans="1:4">
      <c r="A1055" s="16" t="s">
        <v>565</v>
      </c>
      <c r="B1055">
        <v>0</v>
      </c>
      <c r="C1055">
        <v>5.9184</v>
      </c>
      <c r="D1055">
        <v>5.9184</v>
      </c>
    </row>
    <row r="1056" spans="1:4">
      <c r="A1056" s="28" t="s">
        <v>10</v>
      </c>
      <c r="B1056">
        <v>0</v>
      </c>
      <c r="C1056">
        <v>5.9184</v>
      </c>
      <c r="D1056">
        <v>5.9184</v>
      </c>
    </row>
    <row r="1057" spans="1:4">
      <c r="A1057" s="16" t="s">
        <v>566</v>
      </c>
      <c r="B1057">
        <v>11.394439</v>
      </c>
      <c r="C1057">
        <v>0</v>
      </c>
      <c r="D1057">
        <v>11.394439</v>
      </c>
    </row>
    <row r="1058" spans="1:4">
      <c r="A1058" s="28" t="s">
        <v>10</v>
      </c>
      <c r="B1058">
        <v>11.394439</v>
      </c>
      <c r="C1058">
        <v>0</v>
      </c>
      <c r="D1058">
        <v>11.394439</v>
      </c>
    </row>
    <row r="1059" spans="1:4">
      <c r="A1059" s="16" t="s">
        <v>567</v>
      </c>
      <c r="B1059">
        <v>0.1944</v>
      </c>
      <c r="C1059">
        <v>0</v>
      </c>
      <c r="D1059">
        <v>0.1944</v>
      </c>
    </row>
    <row r="1060" spans="1:4">
      <c r="A1060" s="28" t="s">
        <v>10</v>
      </c>
      <c r="B1060">
        <v>0.1944</v>
      </c>
      <c r="C1060">
        <v>0</v>
      </c>
      <c r="D1060">
        <v>0.1944</v>
      </c>
    </row>
    <row r="1061" spans="1:4">
      <c r="A1061" s="16" t="s">
        <v>568</v>
      </c>
      <c r="B1061">
        <v>0.1944</v>
      </c>
      <c r="C1061">
        <v>0</v>
      </c>
      <c r="D1061">
        <v>0.1944</v>
      </c>
    </row>
    <row r="1062" spans="1:4">
      <c r="A1062" s="28" t="s">
        <v>10</v>
      </c>
      <c r="B1062">
        <v>0.1944</v>
      </c>
      <c r="C1062">
        <v>0</v>
      </c>
      <c r="D1062">
        <v>0.1944</v>
      </c>
    </row>
    <row r="1063" spans="1:4">
      <c r="A1063" s="16" t="s">
        <v>569</v>
      </c>
      <c r="B1063">
        <v>0.1944</v>
      </c>
      <c r="C1063">
        <v>0</v>
      </c>
      <c r="D1063">
        <v>0.1944</v>
      </c>
    </row>
    <row r="1064" spans="1:4">
      <c r="A1064" s="28" t="s">
        <v>10</v>
      </c>
      <c r="B1064">
        <v>0.1944</v>
      </c>
      <c r="C1064">
        <v>0</v>
      </c>
      <c r="D1064">
        <v>0.1944</v>
      </c>
    </row>
    <row r="1065" spans="1:4">
      <c r="A1065" s="16" t="s">
        <v>570</v>
      </c>
      <c r="B1065">
        <v>0.25416</v>
      </c>
      <c r="C1065">
        <v>0</v>
      </c>
      <c r="D1065">
        <v>0.25416</v>
      </c>
    </row>
    <row r="1066" spans="1:4">
      <c r="A1066" s="28" t="s">
        <v>10</v>
      </c>
      <c r="B1066">
        <v>0.25416</v>
      </c>
      <c r="C1066">
        <v>0</v>
      </c>
      <c r="D1066">
        <v>0.25416</v>
      </c>
    </row>
    <row r="1067" spans="1:4">
      <c r="A1067" s="16" t="s">
        <v>571</v>
      </c>
      <c r="B1067">
        <v>13.831389</v>
      </c>
      <c r="C1067">
        <v>7.821069</v>
      </c>
      <c r="D1067">
        <v>21.652458</v>
      </c>
    </row>
    <row r="1068" spans="1:4">
      <c r="A1068" s="28" t="s">
        <v>572</v>
      </c>
      <c r="B1068">
        <v>13.831389</v>
      </c>
      <c r="C1068">
        <v>7.821069</v>
      </c>
      <c r="D1068">
        <v>21.652458</v>
      </c>
    </row>
    <row r="1069" spans="1:4">
      <c r="A1069" s="16" t="s">
        <v>573</v>
      </c>
      <c r="B1069">
        <v>0.1944</v>
      </c>
      <c r="C1069">
        <v>0</v>
      </c>
      <c r="D1069">
        <v>0.1944</v>
      </c>
    </row>
    <row r="1070" spans="1:4">
      <c r="A1070" s="28" t="s">
        <v>10</v>
      </c>
      <c r="B1070">
        <v>0.1944</v>
      </c>
      <c r="C1070">
        <v>0</v>
      </c>
      <c r="D1070">
        <v>0.1944</v>
      </c>
    </row>
    <row r="1071" spans="1:4">
      <c r="A1071" s="16" t="s">
        <v>574</v>
      </c>
      <c r="B1071">
        <v>2.867868</v>
      </c>
      <c r="C1071">
        <v>0</v>
      </c>
      <c r="D1071">
        <v>2.867868</v>
      </c>
    </row>
    <row r="1072" spans="1:4">
      <c r="A1072" s="28" t="s">
        <v>10</v>
      </c>
      <c r="B1072">
        <v>2.867868</v>
      </c>
      <c r="C1072">
        <v>0</v>
      </c>
      <c r="D1072">
        <v>2.867868</v>
      </c>
    </row>
    <row r="1073" spans="1:4">
      <c r="A1073" s="16" t="s">
        <v>575</v>
      </c>
      <c r="B1073">
        <v>0.1944</v>
      </c>
      <c r="C1073">
        <v>0</v>
      </c>
      <c r="D1073">
        <v>0.1944</v>
      </c>
    </row>
    <row r="1074" spans="1:4">
      <c r="A1074" s="28" t="s">
        <v>10</v>
      </c>
      <c r="B1074">
        <v>0.1944</v>
      </c>
      <c r="C1074">
        <v>0</v>
      </c>
      <c r="D1074">
        <v>0.1944</v>
      </c>
    </row>
    <row r="1075" spans="1:4">
      <c r="A1075" s="16" t="s">
        <v>576</v>
      </c>
      <c r="B1075">
        <v>0.24984</v>
      </c>
      <c r="C1075">
        <v>0</v>
      </c>
      <c r="D1075">
        <v>0.24984</v>
      </c>
    </row>
    <row r="1076" spans="1:4">
      <c r="A1076" s="28" t="s">
        <v>10</v>
      </c>
      <c r="B1076">
        <v>0.24984</v>
      </c>
      <c r="C1076">
        <v>0</v>
      </c>
      <c r="D1076">
        <v>0.24984</v>
      </c>
    </row>
    <row r="1077" spans="1:4">
      <c r="A1077" s="16" t="s">
        <v>577</v>
      </c>
      <c r="B1077">
        <v>0.1944</v>
      </c>
      <c r="C1077">
        <v>0</v>
      </c>
      <c r="D1077">
        <v>0.1944</v>
      </c>
    </row>
    <row r="1078" spans="1:4">
      <c r="A1078" s="28" t="s">
        <v>10</v>
      </c>
      <c r="B1078">
        <v>0.1944</v>
      </c>
      <c r="C1078">
        <v>0</v>
      </c>
      <c r="D1078">
        <v>0.1944</v>
      </c>
    </row>
    <row r="1079" spans="1:4">
      <c r="A1079" s="16" t="s">
        <v>578</v>
      </c>
      <c r="B1079">
        <v>0.1944</v>
      </c>
      <c r="C1079">
        <v>0</v>
      </c>
      <c r="D1079">
        <v>0.1944</v>
      </c>
    </row>
    <row r="1080" spans="1:4">
      <c r="A1080" s="28" t="s">
        <v>10</v>
      </c>
      <c r="B1080">
        <v>0.1944</v>
      </c>
      <c r="C1080">
        <v>0</v>
      </c>
      <c r="D1080">
        <v>0.1944</v>
      </c>
    </row>
    <row r="1081" spans="1:4">
      <c r="A1081" s="16" t="s">
        <v>579</v>
      </c>
      <c r="B1081">
        <v>53156.188241</v>
      </c>
      <c r="C1081">
        <v>7.64688</v>
      </c>
      <c r="D1081">
        <v>53163.835121</v>
      </c>
    </row>
    <row r="1082" spans="1:4">
      <c r="A1082" s="28" t="s">
        <v>580</v>
      </c>
      <c r="B1082">
        <v>53156.188241</v>
      </c>
      <c r="C1082">
        <v>7.64688</v>
      </c>
      <c r="D1082">
        <v>53163.835121</v>
      </c>
    </row>
    <row r="1083" spans="1:4">
      <c r="A1083" s="16" t="s">
        <v>581</v>
      </c>
      <c r="B1083">
        <v>15.3576</v>
      </c>
      <c r="C1083">
        <v>0</v>
      </c>
      <c r="D1083">
        <v>15.3576</v>
      </c>
    </row>
    <row r="1084" spans="1:4">
      <c r="A1084" s="28" t="s">
        <v>10</v>
      </c>
      <c r="B1084">
        <v>15.3576</v>
      </c>
      <c r="C1084">
        <v>0</v>
      </c>
      <c r="D1084">
        <v>15.3576</v>
      </c>
    </row>
    <row r="1085" spans="1:4">
      <c r="A1085" s="16" t="s">
        <v>582</v>
      </c>
      <c r="B1085">
        <v>6.23741</v>
      </c>
      <c r="C1085">
        <v>0</v>
      </c>
      <c r="D1085">
        <v>6.23741</v>
      </c>
    </row>
    <row r="1086" spans="1:4">
      <c r="A1086" s="28" t="s">
        <v>10</v>
      </c>
      <c r="B1086">
        <v>6.23741</v>
      </c>
      <c r="C1086">
        <v>0</v>
      </c>
      <c r="D1086">
        <v>6.23741</v>
      </c>
    </row>
    <row r="1087" spans="1:4">
      <c r="A1087" s="16" t="s">
        <v>583</v>
      </c>
      <c r="B1087">
        <v>0.1944</v>
      </c>
      <c r="C1087">
        <v>0</v>
      </c>
      <c r="D1087">
        <v>0.1944</v>
      </c>
    </row>
    <row r="1088" spans="1:4">
      <c r="A1088" s="28" t="s">
        <v>10</v>
      </c>
      <c r="B1088">
        <v>0.1944</v>
      </c>
      <c r="C1088">
        <v>0</v>
      </c>
      <c r="D1088">
        <v>0.1944</v>
      </c>
    </row>
    <row r="1089" spans="1:4">
      <c r="A1089" s="16" t="s">
        <v>584</v>
      </c>
      <c r="B1089">
        <v>14.18617</v>
      </c>
      <c r="C1089">
        <v>0</v>
      </c>
      <c r="D1089">
        <v>14.18617</v>
      </c>
    </row>
    <row r="1090" spans="1:4">
      <c r="A1090" s="28" t="s">
        <v>10</v>
      </c>
      <c r="B1090">
        <v>14.18617</v>
      </c>
      <c r="C1090">
        <v>0</v>
      </c>
      <c r="D1090">
        <v>14.18617</v>
      </c>
    </row>
    <row r="1091" spans="1:4">
      <c r="A1091" s="16" t="s">
        <v>585</v>
      </c>
      <c r="B1091">
        <v>2.474763</v>
      </c>
      <c r="C1091">
        <v>20.576684</v>
      </c>
      <c r="D1091">
        <v>23.051447</v>
      </c>
    </row>
    <row r="1092" spans="1:4">
      <c r="A1092" s="28" t="s">
        <v>10</v>
      </c>
      <c r="B1092">
        <v>2.474763</v>
      </c>
      <c r="C1092">
        <v>20.576684</v>
      </c>
      <c r="D1092">
        <v>23.051447</v>
      </c>
    </row>
    <row r="1093" spans="1:4">
      <c r="A1093" s="16" t="s">
        <v>586</v>
      </c>
      <c r="B1093">
        <v>3899.102311</v>
      </c>
      <c r="C1093">
        <v>11.01648</v>
      </c>
      <c r="D1093">
        <v>3910.118791</v>
      </c>
    </row>
    <row r="1094" spans="1:4">
      <c r="A1094" s="28" t="s">
        <v>587</v>
      </c>
      <c r="B1094">
        <v>3899.102311</v>
      </c>
      <c r="C1094">
        <v>11.01648</v>
      </c>
      <c r="D1094">
        <v>3910.118791</v>
      </c>
    </row>
    <row r="1095" spans="1:4">
      <c r="A1095" s="16" t="s">
        <v>588</v>
      </c>
      <c r="B1095">
        <v>0</v>
      </c>
      <c r="C1095">
        <v>2.38824</v>
      </c>
      <c r="D1095">
        <v>2.38824</v>
      </c>
    </row>
    <row r="1096" spans="1:4">
      <c r="A1096" s="28" t="s">
        <v>589</v>
      </c>
      <c r="B1096">
        <v>0</v>
      </c>
      <c r="C1096">
        <v>2.38824</v>
      </c>
      <c r="D1096">
        <v>2.38824</v>
      </c>
    </row>
    <row r="1097" spans="1:4">
      <c r="A1097" s="16" t="s">
        <v>590</v>
      </c>
      <c r="B1097">
        <v>21.03048</v>
      </c>
      <c r="C1097">
        <v>0</v>
      </c>
      <c r="D1097">
        <v>21.03048</v>
      </c>
    </row>
    <row r="1098" spans="1:4">
      <c r="A1098" s="28" t="s">
        <v>591</v>
      </c>
      <c r="B1098">
        <v>21.03048</v>
      </c>
      <c r="C1098">
        <v>0</v>
      </c>
      <c r="D1098">
        <v>21.03048</v>
      </c>
    </row>
    <row r="1099" spans="1:4">
      <c r="A1099" s="16" t="s">
        <v>592</v>
      </c>
      <c r="B1099">
        <v>0.7776</v>
      </c>
      <c r="C1099">
        <v>0</v>
      </c>
      <c r="D1099">
        <v>0.7776</v>
      </c>
    </row>
    <row r="1100" spans="1:4">
      <c r="A1100" s="28" t="s">
        <v>10</v>
      </c>
      <c r="B1100">
        <v>0.7776</v>
      </c>
      <c r="C1100">
        <v>0</v>
      </c>
      <c r="D1100">
        <v>0.7776</v>
      </c>
    </row>
    <row r="1101" spans="1:4">
      <c r="A1101" s="16" t="s">
        <v>593</v>
      </c>
      <c r="B1101">
        <v>0</v>
      </c>
      <c r="C1101">
        <v>9.11736</v>
      </c>
      <c r="D1101">
        <v>9.11736</v>
      </c>
    </row>
    <row r="1102" spans="1:4">
      <c r="A1102" s="28" t="s">
        <v>594</v>
      </c>
      <c r="B1102">
        <v>0</v>
      </c>
      <c r="C1102">
        <v>9.11736</v>
      </c>
      <c r="D1102">
        <v>9.11736</v>
      </c>
    </row>
    <row r="1103" spans="1:4">
      <c r="A1103" s="16" t="s">
        <v>595</v>
      </c>
      <c r="B1103">
        <v>3.153817</v>
      </c>
      <c r="C1103">
        <v>4.574527</v>
      </c>
      <c r="D1103">
        <v>7.728344</v>
      </c>
    </row>
    <row r="1104" spans="1:4">
      <c r="A1104" s="28" t="s">
        <v>10</v>
      </c>
      <c r="B1104">
        <v>3.153817</v>
      </c>
      <c r="C1104">
        <v>4.574527</v>
      </c>
      <c r="D1104">
        <v>7.728344</v>
      </c>
    </row>
    <row r="1105" spans="1:4">
      <c r="A1105" s="16" t="s">
        <v>596</v>
      </c>
      <c r="B1105">
        <v>0.1944</v>
      </c>
      <c r="C1105">
        <v>0</v>
      </c>
      <c r="D1105">
        <v>0.1944</v>
      </c>
    </row>
    <row r="1106" spans="1:4">
      <c r="A1106" s="28" t="s">
        <v>10</v>
      </c>
      <c r="B1106">
        <v>0.1944</v>
      </c>
      <c r="C1106">
        <v>0</v>
      </c>
      <c r="D1106">
        <v>0.1944</v>
      </c>
    </row>
    <row r="1107" spans="1:4">
      <c r="A1107" s="16" t="s">
        <v>597</v>
      </c>
      <c r="B1107">
        <v>0.708786</v>
      </c>
      <c r="C1107">
        <v>3.686879</v>
      </c>
      <c r="D1107">
        <v>4.395665</v>
      </c>
    </row>
    <row r="1108" spans="1:4">
      <c r="A1108" s="28" t="s">
        <v>10</v>
      </c>
      <c r="B1108">
        <v>0.708786</v>
      </c>
      <c r="C1108">
        <v>3.686879</v>
      </c>
      <c r="D1108">
        <v>4.395665</v>
      </c>
    </row>
    <row r="1109" spans="1:4">
      <c r="A1109" s="16" t="s">
        <v>598</v>
      </c>
      <c r="B1109">
        <v>0.1944</v>
      </c>
      <c r="C1109">
        <v>0</v>
      </c>
      <c r="D1109">
        <v>0.1944</v>
      </c>
    </row>
    <row r="1110" spans="1:4">
      <c r="A1110" s="28" t="s">
        <v>10</v>
      </c>
      <c r="B1110">
        <v>0.1944</v>
      </c>
      <c r="C1110">
        <v>0</v>
      </c>
      <c r="D1110">
        <v>0.1944</v>
      </c>
    </row>
    <row r="1111" spans="1:4">
      <c r="A1111" s="16" t="s">
        <v>599</v>
      </c>
      <c r="B1111">
        <v>3.2436</v>
      </c>
      <c r="C1111">
        <v>0</v>
      </c>
      <c r="D1111">
        <v>3.2436</v>
      </c>
    </row>
    <row r="1112" spans="1:4">
      <c r="A1112" s="28" t="s">
        <v>10</v>
      </c>
      <c r="B1112">
        <v>3.2436</v>
      </c>
      <c r="C1112">
        <v>0</v>
      </c>
      <c r="D1112">
        <v>3.2436</v>
      </c>
    </row>
    <row r="1113" spans="1:4">
      <c r="A1113" s="16" t="s">
        <v>600</v>
      </c>
      <c r="B1113">
        <v>41.914506</v>
      </c>
      <c r="C1113">
        <v>8.2452</v>
      </c>
      <c r="D1113">
        <v>50.159706</v>
      </c>
    </row>
    <row r="1114" spans="1:4">
      <c r="A1114" s="28" t="s">
        <v>10</v>
      </c>
      <c r="B1114">
        <v>41.914506</v>
      </c>
      <c r="C1114">
        <v>8.2452</v>
      </c>
      <c r="D1114">
        <v>50.159706</v>
      </c>
    </row>
    <row r="1115" spans="1:4">
      <c r="A1115" s="16" t="s">
        <v>601</v>
      </c>
      <c r="B1115">
        <v>0.1944</v>
      </c>
      <c r="C1115">
        <v>0</v>
      </c>
      <c r="D1115">
        <v>0.1944</v>
      </c>
    </row>
    <row r="1116" spans="1:4">
      <c r="A1116" s="28" t="s">
        <v>10</v>
      </c>
      <c r="B1116">
        <v>0.1944</v>
      </c>
      <c r="C1116">
        <v>0</v>
      </c>
      <c r="D1116">
        <v>0.1944</v>
      </c>
    </row>
    <row r="1117" spans="1:4">
      <c r="A1117" s="16" t="s">
        <v>602</v>
      </c>
      <c r="B1117">
        <v>0.1944</v>
      </c>
      <c r="C1117">
        <v>0</v>
      </c>
      <c r="D1117">
        <v>0.1944</v>
      </c>
    </row>
    <row r="1118" spans="1:4">
      <c r="A1118" s="28" t="s">
        <v>10</v>
      </c>
      <c r="B1118">
        <v>0.1944</v>
      </c>
      <c r="C1118">
        <v>0</v>
      </c>
      <c r="D1118">
        <v>0.1944</v>
      </c>
    </row>
    <row r="1119" spans="1:4">
      <c r="A1119" s="16" t="s">
        <v>603</v>
      </c>
      <c r="B1119">
        <v>0.1944</v>
      </c>
      <c r="C1119">
        <v>0</v>
      </c>
      <c r="D1119">
        <v>0.1944</v>
      </c>
    </row>
    <row r="1120" spans="1:4">
      <c r="A1120" s="28" t="s">
        <v>10</v>
      </c>
      <c r="B1120">
        <v>0.1944</v>
      </c>
      <c r="C1120">
        <v>0</v>
      </c>
      <c r="D1120">
        <v>0.1944</v>
      </c>
    </row>
    <row r="1121" spans="1:4">
      <c r="A1121" s="16" t="s">
        <v>604</v>
      </c>
      <c r="B1121">
        <v>0.1944</v>
      </c>
      <c r="C1121">
        <v>0</v>
      </c>
      <c r="D1121">
        <v>0.1944</v>
      </c>
    </row>
    <row r="1122" spans="1:4">
      <c r="A1122" s="28" t="s">
        <v>10</v>
      </c>
      <c r="B1122">
        <v>0.1944</v>
      </c>
      <c r="C1122">
        <v>0</v>
      </c>
      <c r="D1122">
        <v>0.1944</v>
      </c>
    </row>
    <row r="1123" spans="1:4">
      <c r="A1123" s="16" t="s">
        <v>605</v>
      </c>
      <c r="B1123">
        <v>0</v>
      </c>
      <c r="C1123">
        <v>296.466044</v>
      </c>
      <c r="D1123">
        <v>296.466044</v>
      </c>
    </row>
    <row r="1124" spans="1:4">
      <c r="A1124" s="28" t="s">
        <v>10</v>
      </c>
      <c r="B1124">
        <v>0</v>
      </c>
      <c r="C1124">
        <v>296.466044</v>
      </c>
      <c r="D1124">
        <v>296.466044</v>
      </c>
    </row>
    <row r="1125" spans="1:4">
      <c r="A1125" s="16" t="s">
        <v>606</v>
      </c>
      <c r="B1125">
        <v>0</v>
      </c>
      <c r="C1125">
        <v>0.1944</v>
      </c>
      <c r="D1125">
        <v>0.1944</v>
      </c>
    </row>
    <row r="1126" spans="1:4">
      <c r="A1126" s="28" t="s">
        <v>10</v>
      </c>
      <c r="B1126">
        <v>0</v>
      </c>
      <c r="C1126">
        <v>0.1944</v>
      </c>
      <c r="D1126">
        <v>0.1944</v>
      </c>
    </row>
    <row r="1127" spans="1:4">
      <c r="A1127" s="16" t="s">
        <v>607</v>
      </c>
      <c r="B1127">
        <v>3.03768</v>
      </c>
      <c r="C1127">
        <v>0</v>
      </c>
      <c r="D1127">
        <v>3.03768</v>
      </c>
    </row>
    <row r="1128" spans="1:4">
      <c r="A1128" s="28" t="s">
        <v>10</v>
      </c>
      <c r="B1128">
        <v>3.03768</v>
      </c>
      <c r="C1128">
        <v>0</v>
      </c>
      <c r="D1128">
        <v>3.03768</v>
      </c>
    </row>
    <row r="1129" spans="1:4">
      <c r="A1129" s="16" t="s">
        <v>608</v>
      </c>
      <c r="B1129">
        <v>0.03438</v>
      </c>
      <c r="C1129">
        <v>0.35442</v>
      </c>
      <c r="D1129">
        <v>0.3888</v>
      </c>
    </row>
    <row r="1130" spans="1:4">
      <c r="A1130" s="28" t="s">
        <v>10</v>
      </c>
      <c r="B1130">
        <v>0.03438</v>
      </c>
      <c r="C1130">
        <v>0.35442</v>
      </c>
      <c r="D1130">
        <v>0.3888</v>
      </c>
    </row>
    <row r="1131" spans="1:4">
      <c r="A1131" s="16" t="s">
        <v>609</v>
      </c>
      <c r="B1131">
        <v>43.68248</v>
      </c>
      <c r="C1131">
        <v>14.5</v>
      </c>
      <c r="D1131">
        <v>58.18248</v>
      </c>
    </row>
    <row r="1132" spans="1:4">
      <c r="A1132" s="28" t="s">
        <v>10</v>
      </c>
      <c r="B1132">
        <v>43.68248</v>
      </c>
      <c r="C1132">
        <v>14.5</v>
      </c>
      <c r="D1132">
        <v>58.18248</v>
      </c>
    </row>
    <row r="1133" spans="1:4">
      <c r="A1133" s="16" t="s">
        <v>610</v>
      </c>
      <c r="B1133">
        <v>4931.545438</v>
      </c>
      <c r="C1133">
        <v>11.560897</v>
      </c>
      <c r="D1133">
        <v>4943.106335</v>
      </c>
    </row>
    <row r="1134" spans="1:4">
      <c r="A1134" s="28" t="s">
        <v>611</v>
      </c>
      <c r="B1134">
        <v>4931.545438</v>
      </c>
      <c r="C1134">
        <v>11.560897</v>
      </c>
      <c r="D1134">
        <v>4943.106335</v>
      </c>
    </row>
    <row r="1135" spans="1:4">
      <c r="A1135" s="16" t="s">
        <v>612</v>
      </c>
      <c r="B1135">
        <v>85.17821</v>
      </c>
      <c r="C1135">
        <v>2.945672</v>
      </c>
      <c r="D1135">
        <v>88.123882</v>
      </c>
    </row>
    <row r="1136" spans="1:4">
      <c r="A1136" s="28" t="s">
        <v>10</v>
      </c>
      <c r="B1136">
        <v>85.17821</v>
      </c>
      <c r="C1136">
        <v>2.945672</v>
      </c>
      <c r="D1136">
        <v>88.123882</v>
      </c>
    </row>
    <row r="1137" spans="1:4">
      <c r="A1137" s="16" t="s">
        <v>613</v>
      </c>
      <c r="B1137">
        <v>2.7216</v>
      </c>
      <c r="C1137">
        <v>0</v>
      </c>
      <c r="D1137">
        <v>2.7216</v>
      </c>
    </row>
    <row r="1138" spans="1:4">
      <c r="A1138" s="28" t="s">
        <v>10</v>
      </c>
      <c r="B1138">
        <v>2.7216</v>
      </c>
      <c r="C1138">
        <v>0</v>
      </c>
      <c r="D1138">
        <v>2.7216</v>
      </c>
    </row>
    <row r="1139" spans="1:4">
      <c r="A1139" s="16" t="s">
        <v>614</v>
      </c>
      <c r="B1139">
        <v>0.1944</v>
      </c>
      <c r="C1139">
        <v>0</v>
      </c>
      <c r="D1139">
        <v>0.1944</v>
      </c>
    </row>
    <row r="1140" spans="1:4">
      <c r="A1140" s="28" t="s">
        <v>10</v>
      </c>
      <c r="B1140">
        <v>0.1944</v>
      </c>
      <c r="C1140">
        <v>0</v>
      </c>
      <c r="D1140">
        <v>0.1944</v>
      </c>
    </row>
    <row r="1141" spans="1:4">
      <c r="A1141" s="16" t="s">
        <v>615</v>
      </c>
      <c r="B1141">
        <v>0</v>
      </c>
      <c r="C1141">
        <v>1.1664</v>
      </c>
      <c r="D1141">
        <v>1.1664</v>
      </c>
    </row>
    <row r="1142" spans="1:4">
      <c r="A1142" s="28" t="s">
        <v>10</v>
      </c>
      <c r="B1142">
        <v>0</v>
      </c>
      <c r="C1142">
        <v>1.1664</v>
      </c>
      <c r="D1142">
        <v>1.1664</v>
      </c>
    </row>
    <row r="1143" spans="1:4">
      <c r="A1143" s="16" t="s">
        <v>616</v>
      </c>
      <c r="B1143">
        <v>607.631357</v>
      </c>
      <c r="C1143">
        <v>18.12695</v>
      </c>
      <c r="D1143">
        <v>625.758307</v>
      </c>
    </row>
    <row r="1144" spans="1:4">
      <c r="A1144" s="28" t="s">
        <v>617</v>
      </c>
      <c r="B1144">
        <v>607.631357</v>
      </c>
      <c r="C1144">
        <v>18.12695</v>
      </c>
      <c r="D1144">
        <v>625.758307</v>
      </c>
    </row>
    <row r="1145" spans="1:4">
      <c r="A1145" s="16" t="s">
        <v>618</v>
      </c>
      <c r="B1145">
        <v>0.1944</v>
      </c>
      <c r="C1145">
        <v>0</v>
      </c>
      <c r="D1145">
        <v>0.1944</v>
      </c>
    </row>
    <row r="1146" spans="1:4">
      <c r="A1146" s="28" t="s">
        <v>10</v>
      </c>
      <c r="B1146">
        <v>0.1944</v>
      </c>
      <c r="C1146">
        <v>0</v>
      </c>
      <c r="D1146">
        <v>0.1944</v>
      </c>
    </row>
    <row r="1147" spans="1:4">
      <c r="A1147" s="16" t="s">
        <v>619</v>
      </c>
      <c r="B1147">
        <v>0.1944</v>
      </c>
      <c r="C1147">
        <v>0</v>
      </c>
      <c r="D1147">
        <v>0.1944</v>
      </c>
    </row>
    <row r="1148" spans="1:4">
      <c r="A1148" s="28" t="s">
        <v>10</v>
      </c>
      <c r="B1148">
        <v>0.1944</v>
      </c>
      <c r="C1148">
        <v>0</v>
      </c>
      <c r="D1148">
        <v>0.1944</v>
      </c>
    </row>
    <row r="1149" spans="1:4">
      <c r="A1149" s="16" t="s">
        <v>620</v>
      </c>
      <c r="B1149">
        <v>0.1944</v>
      </c>
      <c r="C1149">
        <v>0</v>
      </c>
      <c r="D1149">
        <v>0.1944</v>
      </c>
    </row>
    <row r="1150" spans="1:4">
      <c r="A1150" s="28" t="s">
        <v>10</v>
      </c>
      <c r="B1150">
        <v>0.1944</v>
      </c>
      <c r="C1150">
        <v>0</v>
      </c>
      <c r="D1150">
        <v>0.1944</v>
      </c>
    </row>
    <row r="1151" spans="1:4">
      <c r="A1151" s="16" t="s">
        <v>621</v>
      </c>
      <c r="B1151">
        <v>2.916</v>
      </c>
      <c r="C1151">
        <v>0</v>
      </c>
      <c r="D1151">
        <v>2.916</v>
      </c>
    </row>
    <row r="1152" spans="1:4">
      <c r="A1152" s="28" t="s">
        <v>10</v>
      </c>
      <c r="B1152">
        <v>2.916</v>
      </c>
      <c r="C1152">
        <v>0</v>
      </c>
      <c r="D1152">
        <v>2.916</v>
      </c>
    </row>
    <row r="1153" spans="1:4">
      <c r="A1153" s="16" t="s">
        <v>622</v>
      </c>
      <c r="B1153">
        <v>0</v>
      </c>
      <c r="C1153">
        <v>5.47272</v>
      </c>
      <c r="D1153">
        <v>5.47272</v>
      </c>
    </row>
    <row r="1154" spans="1:4">
      <c r="A1154" s="28" t="s">
        <v>623</v>
      </c>
      <c r="B1154">
        <v>0</v>
      </c>
      <c r="C1154">
        <v>5.47272</v>
      </c>
      <c r="D1154">
        <v>5.47272</v>
      </c>
    </row>
    <row r="1155" spans="1:4">
      <c r="A1155" s="16" t="s">
        <v>624</v>
      </c>
      <c r="B1155">
        <v>6.504428</v>
      </c>
      <c r="C1155">
        <v>4.7412</v>
      </c>
      <c r="D1155">
        <v>11.245628</v>
      </c>
    </row>
    <row r="1156" spans="1:4">
      <c r="A1156" s="28" t="s">
        <v>10</v>
      </c>
      <c r="B1156">
        <v>6.504428</v>
      </c>
      <c r="C1156">
        <v>4.7412</v>
      </c>
      <c r="D1156">
        <v>11.245628</v>
      </c>
    </row>
    <row r="1157" spans="1:4">
      <c r="A1157" s="16" t="s">
        <v>625</v>
      </c>
      <c r="B1157">
        <v>26.992271</v>
      </c>
      <c r="C1157">
        <v>8.271033</v>
      </c>
      <c r="D1157">
        <v>35.263304</v>
      </c>
    </row>
    <row r="1158" spans="1:4">
      <c r="A1158" s="28" t="s">
        <v>626</v>
      </c>
      <c r="B1158">
        <v>26.992271</v>
      </c>
      <c r="C1158">
        <v>8.271033</v>
      </c>
      <c r="D1158">
        <v>35.263304</v>
      </c>
    </row>
    <row r="1159" spans="1:4">
      <c r="A1159" s="16" t="s">
        <v>627</v>
      </c>
      <c r="B1159">
        <v>0.165896</v>
      </c>
      <c r="C1159">
        <v>0</v>
      </c>
      <c r="D1159">
        <v>0.165896</v>
      </c>
    </row>
    <row r="1160" spans="1:4">
      <c r="A1160" s="28" t="s">
        <v>10</v>
      </c>
      <c r="B1160">
        <v>0.165896</v>
      </c>
      <c r="C1160">
        <v>0</v>
      </c>
      <c r="D1160">
        <v>0.165896</v>
      </c>
    </row>
    <row r="1161" spans="1:4">
      <c r="A1161" s="16" t="s">
        <v>628</v>
      </c>
      <c r="B1161">
        <v>0.19404</v>
      </c>
      <c r="C1161">
        <v>0.011451</v>
      </c>
      <c r="D1161">
        <v>0.205491</v>
      </c>
    </row>
    <row r="1162" spans="1:4">
      <c r="A1162" s="28" t="s">
        <v>10</v>
      </c>
      <c r="B1162">
        <v>0.19404</v>
      </c>
      <c r="C1162">
        <v>0.011451</v>
      </c>
      <c r="D1162">
        <v>0.205491</v>
      </c>
    </row>
    <row r="1163" spans="1:4">
      <c r="A1163" s="16" t="s">
        <v>629</v>
      </c>
      <c r="B1163">
        <v>0.1944</v>
      </c>
      <c r="C1163">
        <v>0</v>
      </c>
      <c r="D1163">
        <v>0.1944</v>
      </c>
    </row>
    <row r="1164" spans="1:4">
      <c r="A1164" s="28" t="s">
        <v>10</v>
      </c>
      <c r="B1164">
        <v>0.1944</v>
      </c>
      <c r="C1164">
        <v>0</v>
      </c>
      <c r="D1164">
        <v>0.1944</v>
      </c>
    </row>
    <row r="1165" spans="1:4">
      <c r="A1165" s="16" t="s">
        <v>630</v>
      </c>
      <c r="B1165">
        <v>3.77928</v>
      </c>
      <c r="C1165">
        <v>0</v>
      </c>
      <c r="D1165">
        <v>3.77928</v>
      </c>
    </row>
    <row r="1166" spans="1:4">
      <c r="A1166" s="28" t="s">
        <v>10</v>
      </c>
      <c r="B1166">
        <v>3.77928</v>
      </c>
      <c r="C1166">
        <v>0</v>
      </c>
      <c r="D1166">
        <v>3.77928</v>
      </c>
    </row>
    <row r="1167" spans="1:4">
      <c r="A1167" s="16" t="s">
        <v>631</v>
      </c>
      <c r="B1167">
        <v>22.865479</v>
      </c>
      <c r="C1167">
        <v>7.685085</v>
      </c>
      <c r="D1167">
        <v>30.550564</v>
      </c>
    </row>
    <row r="1168" spans="1:4">
      <c r="A1168" s="28" t="s">
        <v>10</v>
      </c>
      <c r="B1168">
        <v>22.865479</v>
      </c>
      <c r="C1168">
        <v>7.685085</v>
      </c>
      <c r="D1168">
        <v>30.550564</v>
      </c>
    </row>
    <row r="1169" spans="1:4">
      <c r="A1169" s="16" t="s">
        <v>632</v>
      </c>
      <c r="B1169">
        <v>0</v>
      </c>
      <c r="C1169">
        <v>4.63752</v>
      </c>
      <c r="D1169">
        <v>4.63752</v>
      </c>
    </row>
    <row r="1170" spans="1:4">
      <c r="A1170" s="28" t="s">
        <v>10</v>
      </c>
      <c r="B1170">
        <v>0</v>
      </c>
      <c r="C1170">
        <v>4.63752</v>
      </c>
      <c r="D1170">
        <v>4.63752</v>
      </c>
    </row>
    <row r="1171" spans="1:4">
      <c r="A1171" s="16" t="s">
        <v>633</v>
      </c>
      <c r="B1171">
        <v>0</v>
      </c>
      <c r="C1171">
        <v>3.81888</v>
      </c>
      <c r="D1171">
        <v>3.81888</v>
      </c>
    </row>
    <row r="1172" spans="1:4">
      <c r="A1172" s="28" t="s">
        <v>10</v>
      </c>
      <c r="B1172">
        <v>0</v>
      </c>
      <c r="C1172">
        <v>3.81888</v>
      </c>
      <c r="D1172">
        <v>3.81888</v>
      </c>
    </row>
    <row r="1173" spans="1:4">
      <c r="A1173" s="16" t="s">
        <v>634</v>
      </c>
      <c r="B1173">
        <v>0.114636</v>
      </c>
      <c r="C1173">
        <v>0</v>
      </c>
      <c r="D1173">
        <v>0.114636</v>
      </c>
    </row>
    <row r="1174" spans="1:4">
      <c r="A1174" s="28" t="s">
        <v>10</v>
      </c>
      <c r="B1174">
        <v>0.114636</v>
      </c>
      <c r="C1174">
        <v>0</v>
      </c>
      <c r="D1174">
        <v>0.114636</v>
      </c>
    </row>
    <row r="1175" spans="1:4">
      <c r="A1175" s="16" t="s">
        <v>635</v>
      </c>
      <c r="B1175">
        <v>0.1944</v>
      </c>
      <c r="C1175">
        <v>0</v>
      </c>
      <c r="D1175">
        <v>0.1944</v>
      </c>
    </row>
    <row r="1176" spans="1:4">
      <c r="A1176" s="28" t="s">
        <v>10</v>
      </c>
      <c r="B1176">
        <v>0.1944</v>
      </c>
      <c r="C1176">
        <v>0</v>
      </c>
      <c r="D1176">
        <v>0.1944</v>
      </c>
    </row>
    <row r="1177" spans="1:4">
      <c r="A1177" s="16" t="s">
        <v>636</v>
      </c>
      <c r="B1177">
        <v>0.1944</v>
      </c>
      <c r="C1177">
        <v>0</v>
      </c>
      <c r="D1177">
        <v>0.1944</v>
      </c>
    </row>
    <row r="1178" spans="1:4">
      <c r="A1178" s="28" t="s">
        <v>10</v>
      </c>
      <c r="B1178">
        <v>0.1944</v>
      </c>
      <c r="C1178">
        <v>0</v>
      </c>
      <c r="D1178">
        <v>0.1944</v>
      </c>
    </row>
    <row r="1179" spans="1:4">
      <c r="A1179" s="16" t="s">
        <v>637</v>
      </c>
      <c r="B1179">
        <v>0.80712</v>
      </c>
      <c r="C1179">
        <v>0</v>
      </c>
      <c r="D1179">
        <v>0.80712</v>
      </c>
    </row>
    <row r="1180" spans="1:4">
      <c r="A1180" s="28" t="s">
        <v>10</v>
      </c>
      <c r="B1180">
        <v>0.80712</v>
      </c>
      <c r="C1180">
        <v>0</v>
      </c>
      <c r="D1180">
        <v>0.80712</v>
      </c>
    </row>
    <row r="1181" spans="1:4">
      <c r="A1181" s="16" t="s">
        <v>638</v>
      </c>
      <c r="B1181">
        <v>0.14688</v>
      </c>
      <c r="C1181">
        <v>0</v>
      </c>
      <c r="D1181">
        <v>0.14688</v>
      </c>
    </row>
    <row r="1182" spans="1:4">
      <c r="A1182" s="28" t="s">
        <v>10</v>
      </c>
      <c r="B1182">
        <v>0.14688</v>
      </c>
      <c r="C1182">
        <v>0</v>
      </c>
      <c r="D1182">
        <v>0.14688</v>
      </c>
    </row>
    <row r="1183" spans="1:4">
      <c r="A1183" s="16" t="s">
        <v>639</v>
      </c>
      <c r="B1183">
        <v>5.148</v>
      </c>
      <c r="C1183">
        <v>0</v>
      </c>
      <c r="D1183">
        <v>5.148</v>
      </c>
    </row>
    <row r="1184" spans="1:4">
      <c r="A1184" s="28" t="s">
        <v>10</v>
      </c>
      <c r="B1184">
        <v>5.148</v>
      </c>
      <c r="C1184">
        <v>0</v>
      </c>
      <c r="D1184">
        <v>5.148</v>
      </c>
    </row>
    <row r="1185" spans="1:4">
      <c r="A1185" s="16" t="s">
        <v>640</v>
      </c>
      <c r="B1185">
        <v>0.871055</v>
      </c>
      <c r="C1185">
        <v>0</v>
      </c>
      <c r="D1185">
        <v>0.871055</v>
      </c>
    </row>
    <row r="1186" spans="1:4">
      <c r="A1186" s="28" t="s">
        <v>10</v>
      </c>
      <c r="B1186">
        <v>0.871055</v>
      </c>
      <c r="C1186">
        <v>0</v>
      </c>
      <c r="D1186">
        <v>0.871055</v>
      </c>
    </row>
    <row r="1187" spans="1:4">
      <c r="A1187" s="16" t="s">
        <v>641</v>
      </c>
      <c r="B1187">
        <v>0.1944</v>
      </c>
      <c r="C1187">
        <v>0</v>
      </c>
      <c r="D1187">
        <v>0.1944</v>
      </c>
    </row>
    <row r="1188" spans="1:4">
      <c r="A1188" s="28" t="s">
        <v>10</v>
      </c>
      <c r="B1188">
        <v>0.1944</v>
      </c>
      <c r="C1188">
        <v>0</v>
      </c>
      <c r="D1188">
        <v>0.1944</v>
      </c>
    </row>
    <row r="1189" spans="1:4">
      <c r="A1189" s="16" t="s">
        <v>642</v>
      </c>
      <c r="B1189">
        <v>0.1944</v>
      </c>
      <c r="C1189">
        <v>0</v>
      </c>
      <c r="D1189">
        <v>0.1944</v>
      </c>
    </row>
    <row r="1190" spans="1:4">
      <c r="A1190" s="28" t="s">
        <v>10</v>
      </c>
      <c r="B1190">
        <v>0.1944</v>
      </c>
      <c r="C1190">
        <v>0</v>
      </c>
      <c r="D1190">
        <v>0.1944</v>
      </c>
    </row>
    <row r="1191" spans="1:4">
      <c r="A1191" s="16" t="s">
        <v>643</v>
      </c>
      <c r="B1191">
        <v>0.1944</v>
      </c>
      <c r="C1191">
        <v>0</v>
      </c>
      <c r="D1191">
        <v>0.1944</v>
      </c>
    </row>
    <row r="1192" spans="1:4">
      <c r="A1192" s="28" t="s">
        <v>10</v>
      </c>
      <c r="B1192">
        <v>0.1944</v>
      </c>
      <c r="C1192">
        <v>0</v>
      </c>
      <c r="D1192">
        <v>0.1944</v>
      </c>
    </row>
    <row r="1193" spans="1:4">
      <c r="A1193" s="16" t="s">
        <v>644</v>
      </c>
      <c r="B1193">
        <v>3.92364</v>
      </c>
      <c r="C1193">
        <v>0</v>
      </c>
      <c r="D1193">
        <v>3.92364</v>
      </c>
    </row>
    <row r="1194" spans="1:4">
      <c r="A1194" s="28" t="s">
        <v>10</v>
      </c>
      <c r="B1194">
        <v>3.92364</v>
      </c>
      <c r="C1194">
        <v>0</v>
      </c>
      <c r="D1194">
        <v>3.92364</v>
      </c>
    </row>
    <row r="1195" spans="1:4">
      <c r="A1195" s="16" t="s">
        <v>645</v>
      </c>
      <c r="B1195">
        <v>23.736544</v>
      </c>
      <c r="C1195">
        <v>0</v>
      </c>
      <c r="D1195">
        <v>23.736544</v>
      </c>
    </row>
    <row r="1196" spans="1:4">
      <c r="A1196" s="28" t="s">
        <v>10</v>
      </c>
      <c r="B1196">
        <v>23.736544</v>
      </c>
      <c r="C1196">
        <v>0</v>
      </c>
      <c r="D1196">
        <v>23.736544</v>
      </c>
    </row>
    <row r="1197" spans="1:4">
      <c r="A1197" s="16" t="s">
        <v>646</v>
      </c>
      <c r="B1197">
        <v>4.86567</v>
      </c>
      <c r="C1197">
        <v>1.523452</v>
      </c>
      <c r="D1197">
        <v>6.389122</v>
      </c>
    </row>
    <row r="1198" spans="1:4">
      <c r="A1198" s="28" t="s">
        <v>10</v>
      </c>
      <c r="B1198">
        <v>4.86567</v>
      </c>
      <c r="C1198">
        <v>1.523452</v>
      </c>
      <c r="D1198">
        <v>6.389122</v>
      </c>
    </row>
    <row r="1199" spans="1:4">
      <c r="A1199" s="16" t="s">
        <v>647</v>
      </c>
      <c r="B1199">
        <v>3.6864</v>
      </c>
      <c r="C1199">
        <v>0</v>
      </c>
      <c r="D1199">
        <v>3.6864</v>
      </c>
    </row>
    <row r="1200" spans="1:4">
      <c r="A1200" s="28" t="s">
        <v>10</v>
      </c>
      <c r="B1200">
        <v>3.6864</v>
      </c>
      <c r="C1200">
        <v>0</v>
      </c>
      <c r="D1200">
        <v>3.6864</v>
      </c>
    </row>
    <row r="1201" spans="1:4">
      <c r="A1201" s="16" t="s">
        <v>648</v>
      </c>
      <c r="B1201">
        <v>6356.399592</v>
      </c>
      <c r="C1201">
        <v>24.876824</v>
      </c>
      <c r="D1201">
        <v>6381.276416</v>
      </c>
    </row>
    <row r="1202" spans="1:4">
      <c r="A1202" s="28" t="s">
        <v>649</v>
      </c>
      <c r="B1202">
        <v>6356.399592</v>
      </c>
      <c r="C1202">
        <v>24.876824</v>
      </c>
      <c r="D1202">
        <v>6381.276416</v>
      </c>
    </row>
    <row r="1203" spans="1:4">
      <c r="A1203" s="16" t="s">
        <v>650</v>
      </c>
      <c r="B1203">
        <v>4.81802</v>
      </c>
      <c r="C1203">
        <v>1.917438</v>
      </c>
      <c r="D1203">
        <v>6.735458</v>
      </c>
    </row>
    <row r="1204" spans="1:4">
      <c r="A1204" s="28" t="s">
        <v>10</v>
      </c>
      <c r="B1204">
        <v>4.81802</v>
      </c>
      <c r="C1204">
        <v>1.917438</v>
      </c>
      <c r="D1204">
        <v>6.735458</v>
      </c>
    </row>
    <row r="1205" spans="1:4">
      <c r="A1205" s="16" t="s">
        <v>651</v>
      </c>
      <c r="B1205">
        <v>0.1944</v>
      </c>
      <c r="C1205">
        <v>0</v>
      </c>
      <c r="D1205">
        <v>0.1944</v>
      </c>
    </row>
    <row r="1206" spans="1:4">
      <c r="A1206" s="28" t="s">
        <v>10</v>
      </c>
      <c r="B1206">
        <v>0.1944</v>
      </c>
      <c r="C1206">
        <v>0</v>
      </c>
      <c r="D1206">
        <v>0.1944</v>
      </c>
    </row>
    <row r="1207" spans="1:4">
      <c r="A1207" s="16" t="s">
        <v>652</v>
      </c>
      <c r="B1207">
        <v>0.24984</v>
      </c>
      <c r="C1207">
        <v>0</v>
      </c>
      <c r="D1207">
        <v>0.24984</v>
      </c>
    </row>
    <row r="1208" spans="1:4">
      <c r="A1208" s="28" t="s">
        <v>10</v>
      </c>
      <c r="B1208">
        <v>0.24984</v>
      </c>
      <c r="C1208">
        <v>0</v>
      </c>
      <c r="D1208">
        <v>0.24984</v>
      </c>
    </row>
    <row r="1209" spans="1:4">
      <c r="A1209" s="16" t="s">
        <v>653</v>
      </c>
      <c r="B1209">
        <v>21.967241</v>
      </c>
      <c r="C1209">
        <v>4.189035</v>
      </c>
      <c r="D1209">
        <v>26.156276</v>
      </c>
    </row>
    <row r="1210" spans="1:4">
      <c r="A1210" s="28" t="s">
        <v>10</v>
      </c>
      <c r="B1210">
        <v>21.967241</v>
      </c>
      <c r="C1210">
        <v>4.189035</v>
      </c>
      <c r="D1210">
        <v>26.156276</v>
      </c>
    </row>
    <row r="1211" spans="1:4">
      <c r="A1211" s="16" t="s">
        <v>654</v>
      </c>
      <c r="B1211">
        <v>4917.176232</v>
      </c>
      <c r="C1211">
        <v>11.800116</v>
      </c>
      <c r="D1211">
        <v>4928.976348</v>
      </c>
    </row>
    <row r="1212" spans="1:4">
      <c r="A1212" s="28" t="s">
        <v>10</v>
      </c>
      <c r="B1212">
        <v>4917.176232</v>
      </c>
      <c r="C1212">
        <v>11.800116</v>
      </c>
      <c r="D1212">
        <v>4928.976348</v>
      </c>
    </row>
    <row r="1213" spans="1:4">
      <c r="A1213" s="16" t="s">
        <v>655</v>
      </c>
      <c r="B1213">
        <v>0</v>
      </c>
      <c r="C1213">
        <v>5.33664</v>
      </c>
      <c r="D1213">
        <v>5.33664</v>
      </c>
    </row>
    <row r="1214" spans="1:4">
      <c r="A1214" s="28" t="s">
        <v>10</v>
      </c>
      <c r="B1214">
        <v>0</v>
      </c>
      <c r="C1214">
        <v>5.33664</v>
      </c>
      <c r="D1214">
        <v>5.33664</v>
      </c>
    </row>
    <row r="1215" spans="1:4">
      <c r="A1215" s="16" t="s">
        <v>656</v>
      </c>
      <c r="B1215">
        <v>0.1944</v>
      </c>
      <c r="C1215">
        <v>0</v>
      </c>
      <c r="D1215">
        <v>0.1944</v>
      </c>
    </row>
    <row r="1216" spans="1:4">
      <c r="A1216" s="28" t="s">
        <v>10</v>
      </c>
      <c r="B1216">
        <v>0.1944</v>
      </c>
      <c r="C1216">
        <v>0</v>
      </c>
      <c r="D1216">
        <v>0.1944</v>
      </c>
    </row>
    <row r="1217" spans="1:4">
      <c r="A1217" s="16" t="s">
        <v>657</v>
      </c>
      <c r="B1217">
        <v>1.890802</v>
      </c>
      <c r="C1217">
        <v>5.758478</v>
      </c>
      <c r="D1217">
        <v>7.64928</v>
      </c>
    </row>
    <row r="1218" spans="1:4">
      <c r="A1218" s="28" t="s">
        <v>10</v>
      </c>
      <c r="B1218">
        <v>1.890802</v>
      </c>
      <c r="C1218">
        <v>5.758478</v>
      </c>
      <c r="D1218">
        <v>7.64928</v>
      </c>
    </row>
    <row r="1219" spans="1:4">
      <c r="A1219" s="16" t="s">
        <v>658</v>
      </c>
      <c r="B1219">
        <v>0.1944</v>
      </c>
      <c r="C1219">
        <v>0</v>
      </c>
      <c r="D1219">
        <v>0.1944</v>
      </c>
    </row>
    <row r="1220" spans="1:4">
      <c r="A1220" s="28" t="s">
        <v>10</v>
      </c>
      <c r="B1220">
        <v>0.1944</v>
      </c>
      <c r="C1220">
        <v>0</v>
      </c>
      <c r="D1220">
        <v>0.1944</v>
      </c>
    </row>
    <row r="1221" spans="1:4">
      <c r="A1221" s="16" t="s">
        <v>659</v>
      </c>
      <c r="B1221">
        <v>0</v>
      </c>
      <c r="C1221">
        <v>4.22208</v>
      </c>
      <c r="D1221">
        <v>4.22208</v>
      </c>
    </row>
    <row r="1222" spans="1:4">
      <c r="A1222" s="28" t="s">
        <v>10</v>
      </c>
      <c r="B1222">
        <v>0</v>
      </c>
      <c r="C1222">
        <v>4.22208</v>
      </c>
      <c r="D1222">
        <v>4.22208</v>
      </c>
    </row>
    <row r="1223" spans="1:4">
      <c r="A1223" s="16" t="s">
        <v>660</v>
      </c>
      <c r="B1223">
        <v>0.1944</v>
      </c>
      <c r="C1223">
        <v>0</v>
      </c>
      <c r="D1223">
        <v>0.1944</v>
      </c>
    </row>
    <row r="1224" spans="1:4">
      <c r="A1224" s="28" t="s">
        <v>10</v>
      </c>
      <c r="B1224">
        <v>0.1944</v>
      </c>
      <c r="C1224">
        <v>0</v>
      </c>
      <c r="D1224">
        <v>0.1944</v>
      </c>
    </row>
    <row r="1225" spans="1:4">
      <c r="A1225" s="16" t="s">
        <v>661</v>
      </c>
      <c r="B1225">
        <v>0.1944</v>
      </c>
      <c r="C1225">
        <v>0</v>
      </c>
      <c r="D1225">
        <v>0.1944</v>
      </c>
    </row>
    <row r="1226" spans="1:4">
      <c r="A1226" s="28" t="s">
        <v>10</v>
      </c>
      <c r="B1226">
        <v>0.1944</v>
      </c>
      <c r="C1226">
        <v>0</v>
      </c>
      <c r="D1226">
        <v>0.1944</v>
      </c>
    </row>
    <row r="1227" spans="1:4">
      <c r="A1227" s="16" t="s">
        <v>662</v>
      </c>
      <c r="B1227">
        <v>6.859551</v>
      </c>
      <c r="C1227">
        <v>7.5</v>
      </c>
      <c r="D1227">
        <v>14.359551</v>
      </c>
    </row>
    <row r="1228" spans="1:4">
      <c r="A1228" s="28" t="s">
        <v>10</v>
      </c>
      <c r="B1228">
        <v>6.859551</v>
      </c>
      <c r="C1228">
        <v>7.5</v>
      </c>
      <c r="D1228">
        <v>14.359551</v>
      </c>
    </row>
    <row r="1229" spans="1:4">
      <c r="A1229" s="16" t="s">
        <v>663</v>
      </c>
      <c r="B1229">
        <v>0.34128</v>
      </c>
      <c r="C1229">
        <v>0</v>
      </c>
      <c r="D1229">
        <v>0.34128</v>
      </c>
    </row>
    <row r="1230" spans="1:4">
      <c r="A1230" s="28" t="s">
        <v>10</v>
      </c>
      <c r="B1230">
        <v>0.34128</v>
      </c>
      <c r="C1230">
        <v>0</v>
      </c>
      <c r="D1230">
        <v>0.34128</v>
      </c>
    </row>
    <row r="1231" spans="1:4">
      <c r="A1231" s="16" t="s">
        <v>664</v>
      </c>
      <c r="B1231">
        <v>3.643265</v>
      </c>
      <c r="C1231">
        <v>0</v>
      </c>
      <c r="D1231">
        <v>3.643265</v>
      </c>
    </row>
    <row r="1232" spans="1:4">
      <c r="A1232" s="28" t="s">
        <v>10</v>
      </c>
      <c r="B1232">
        <v>3.643265</v>
      </c>
      <c r="C1232">
        <v>0</v>
      </c>
      <c r="D1232">
        <v>3.643265</v>
      </c>
    </row>
    <row r="1233" spans="1:4">
      <c r="A1233" s="16" t="s">
        <v>665</v>
      </c>
      <c r="B1233">
        <v>0.1944</v>
      </c>
      <c r="C1233">
        <v>0</v>
      </c>
      <c r="D1233">
        <v>0.1944</v>
      </c>
    </row>
    <row r="1234" spans="1:4">
      <c r="A1234" s="28" t="s">
        <v>10</v>
      </c>
      <c r="B1234">
        <v>0.1944</v>
      </c>
      <c r="C1234">
        <v>0</v>
      </c>
      <c r="D1234">
        <v>0.1944</v>
      </c>
    </row>
    <row r="1235" spans="1:4">
      <c r="A1235" s="16" t="s">
        <v>666</v>
      </c>
      <c r="B1235">
        <v>0.1944</v>
      </c>
      <c r="C1235">
        <v>0</v>
      </c>
      <c r="D1235">
        <v>0.1944</v>
      </c>
    </row>
    <row r="1236" spans="1:4">
      <c r="A1236" s="28" t="s">
        <v>10</v>
      </c>
      <c r="B1236">
        <v>0.1944</v>
      </c>
      <c r="C1236">
        <v>0</v>
      </c>
      <c r="D1236">
        <v>0.1944</v>
      </c>
    </row>
    <row r="1237" spans="1:4">
      <c r="A1237" s="16" t="s">
        <v>667</v>
      </c>
      <c r="B1237">
        <v>2.39112</v>
      </c>
      <c r="C1237">
        <v>0</v>
      </c>
      <c r="D1237">
        <v>2.39112</v>
      </c>
    </row>
    <row r="1238" spans="1:4">
      <c r="A1238" s="28" t="s">
        <v>10</v>
      </c>
      <c r="B1238">
        <v>2.39112</v>
      </c>
      <c r="C1238">
        <v>0</v>
      </c>
      <c r="D1238">
        <v>2.39112</v>
      </c>
    </row>
    <row r="1239" spans="1:4">
      <c r="A1239" s="16" t="s">
        <v>668</v>
      </c>
      <c r="B1239">
        <v>0</v>
      </c>
      <c r="C1239">
        <v>0.3888</v>
      </c>
      <c r="D1239">
        <v>0.3888</v>
      </c>
    </row>
    <row r="1240" spans="1:4">
      <c r="A1240" s="28" t="s">
        <v>10</v>
      </c>
      <c r="B1240">
        <v>0</v>
      </c>
      <c r="C1240">
        <v>0.3888</v>
      </c>
      <c r="D1240">
        <v>0.3888</v>
      </c>
    </row>
    <row r="1241" spans="1:4">
      <c r="A1241" s="16" t="s">
        <v>669</v>
      </c>
      <c r="B1241">
        <v>0.1944</v>
      </c>
      <c r="C1241">
        <v>0</v>
      </c>
      <c r="D1241">
        <v>0.1944</v>
      </c>
    </row>
    <row r="1242" spans="1:4">
      <c r="A1242" s="28" t="s">
        <v>10</v>
      </c>
      <c r="B1242">
        <v>0.1944</v>
      </c>
      <c r="C1242">
        <v>0</v>
      </c>
      <c r="D1242">
        <v>0.1944</v>
      </c>
    </row>
    <row r="1243" spans="1:4">
      <c r="A1243" s="16" t="s">
        <v>670</v>
      </c>
      <c r="B1243">
        <v>17.389035</v>
      </c>
      <c r="C1243">
        <v>0</v>
      </c>
      <c r="D1243">
        <v>17.389035</v>
      </c>
    </row>
    <row r="1244" spans="1:4">
      <c r="A1244" s="28" t="s">
        <v>671</v>
      </c>
      <c r="B1244">
        <v>17.389035</v>
      </c>
      <c r="C1244">
        <v>0</v>
      </c>
      <c r="D1244">
        <v>17.389035</v>
      </c>
    </row>
    <row r="1245" spans="1:4">
      <c r="A1245" s="16" t="s">
        <v>672</v>
      </c>
      <c r="B1245">
        <v>0.1944</v>
      </c>
      <c r="C1245">
        <v>0</v>
      </c>
      <c r="D1245">
        <v>0.1944</v>
      </c>
    </row>
    <row r="1246" spans="1:4">
      <c r="A1246" s="28" t="s">
        <v>10</v>
      </c>
      <c r="B1246">
        <v>0.1944</v>
      </c>
      <c r="C1246">
        <v>0</v>
      </c>
      <c r="D1246">
        <v>0.1944</v>
      </c>
    </row>
    <row r="1247" spans="1:4">
      <c r="A1247" s="16" t="s">
        <v>673</v>
      </c>
      <c r="B1247">
        <v>3.990803</v>
      </c>
      <c r="C1247">
        <v>0</v>
      </c>
      <c r="D1247">
        <v>3.990803</v>
      </c>
    </row>
    <row r="1248" spans="1:4">
      <c r="A1248" s="28" t="s">
        <v>10</v>
      </c>
      <c r="B1248">
        <v>3.990803</v>
      </c>
      <c r="C1248">
        <v>0</v>
      </c>
      <c r="D1248">
        <v>3.990803</v>
      </c>
    </row>
    <row r="1249" spans="1:4">
      <c r="A1249" s="16" t="s">
        <v>674</v>
      </c>
      <c r="B1249">
        <v>0</v>
      </c>
      <c r="C1249">
        <v>2.28511</v>
      </c>
      <c r="D1249">
        <v>2.28511</v>
      </c>
    </row>
    <row r="1250" spans="1:4">
      <c r="A1250" s="28" t="s">
        <v>10</v>
      </c>
      <c r="B1250">
        <v>0</v>
      </c>
      <c r="C1250">
        <v>2.28511</v>
      </c>
      <c r="D1250">
        <v>2.28511</v>
      </c>
    </row>
    <row r="1251" spans="1:4">
      <c r="A1251" s="16" t="s">
        <v>675</v>
      </c>
      <c r="B1251">
        <v>0.44424</v>
      </c>
      <c r="C1251">
        <v>0</v>
      </c>
      <c r="D1251">
        <v>0.44424</v>
      </c>
    </row>
    <row r="1252" spans="1:4">
      <c r="A1252" s="28" t="s">
        <v>10</v>
      </c>
      <c r="B1252">
        <v>0.44424</v>
      </c>
      <c r="C1252">
        <v>0</v>
      </c>
      <c r="D1252">
        <v>0.44424</v>
      </c>
    </row>
    <row r="1253" spans="1:4">
      <c r="A1253" s="16" t="s">
        <v>676</v>
      </c>
      <c r="B1253">
        <v>0.1944</v>
      </c>
      <c r="C1253">
        <v>0</v>
      </c>
      <c r="D1253">
        <v>0.1944</v>
      </c>
    </row>
    <row r="1254" spans="1:4">
      <c r="A1254" s="28" t="s">
        <v>10</v>
      </c>
      <c r="B1254">
        <v>0.1944</v>
      </c>
      <c r="C1254">
        <v>0</v>
      </c>
      <c r="D1254">
        <v>0.1944</v>
      </c>
    </row>
    <row r="1255" spans="1:4">
      <c r="A1255" s="16" t="s">
        <v>677</v>
      </c>
      <c r="B1255">
        <v>6.457828</v>
      </c>
      <c r="C1255">
        <v>0.1944</v>
      </c>
      <c r="D1255">
        <v>6.652228</v>
      </c>
    </row>
    <row r="1256" spans="1:4">
      <c r="A1256" s="28" t="s">
        <v>10</v>
      </c>
      <c r="B1256">
        <v>6.457828</v>
      </c>
      <c r="C1256">
        <v>0.1944</v>
      </c>
      <c r="D1256">
        <v>6.652228</v>
      </c>
    </row>
    <row r="1257" spans="1:4">
      <c r="A1257" s="16" t="s">
        <v>678</v>
      </c>
      <c r="B1257">
        <v>0.1944</v>
      </c>
      <c r="C1257">
        <v>0</v>
      </c>
      <c r="D1257">
        <v>0.1944</v>
      </c>
    </row>
    <row r="1258" spans="1:4">
      <c r="A1258" s="28" t="s">
        <v>10</v>
      </c>
      <c r="B1258">
        <v>0.1944</v>
      </c>
      <c r="C1258">
        <v>0</v>
      </c>
      <c r="D1258">
        <v>0.1944</v>
      </c>
    </row>
    <row r="1259" spans="1:4">
      <c r="A1259" s="16" t="s">
        <v>679</v>
      </c>
      <c r="B1259">
        <v>2.636953</v>
      </c>
      <c r="C1259">
        <v>0</v>
      </c>
      <c r="D1259">
        <v>2.636953</v>
      </c>
    </row>
    <row r="1260" spans="1:4">
      <c r="A1260" s="28" t="s">
        <v>10</v>
      </c>
      <c r="B1260">
        <v>2.636953</v>
      </c>
      <c r="C1260">
        <v>0</v>
      </c>
      <c r="D1260">
        <v>2.636953</v>
      </c>
    </row>
    <row r="1261" spans="1:4">
      <c r="A1261" s="16" t="s">
        <v>680</v>
      </c>
      <c r="B1261">
        <v>10.280564</v>
      </c>
      <c r="C1261">
        <v>0.188055</v>
      </c>
      <c r="D1261">
        <v>10.468619</v>
      </c>
    </row>
    <row r="1262" spans="1:4">
      <c r="A1262" s="28" t="s">
        <v>10</v>
      </c>
      <c r="B1262">
        <v>10.280564</v>
      </c>
      <c r="C1262">
        <v>0.188055</v>
      </c>
      <c r="D1262">
        <v>10.468619</v>
      </c>
    </row>
    <row r="1263" spans="1:4">
      <c r="A1263" s="16" t="s">
        <v>681</v>
      </c>
      <c r="B1263">
        <v>0</v>
      </c>
      <c r="C1263">
        <v>1.118812</v>
      </c>
      <c r="D1263">
        <v>1.118812</v>
      </c>
    </row>
    <row r="1264" spans="1:4">
      <c r="A1264" s="28" t="s">
        <v>10</v>
      </c>
      <c r="B1264">
        <v>0</v>
      </c>
      <c r="C1264">
        <v>1.118812</v>
      </c>
      <c r="D1264">
        <v>1.118812</v>
      </c>
    </row>
    <row r="1265" spans="1:4">
      <c r="A1265" s="16" t="s">
        <v>682</v>
      </c>
      <c r="B1265">
        <v>10.797558</v>
      </c>
      <c r="C1265">
        <v>2.081802</v>
      </c>
      <c r="D1265">
        <v>12.87936</v>
      </c>
    </row>
    <row r="1266" spans="1:4">
      <c r="A1266" s="28" t="s">
        <v>10</v>
      </c>
      <c r="B1266">
        <v>10.797558</v>
      </c>
      <c r="C1266">
        <v>2.081802</v>
      </c>
      <c r="D1266">
        <v>12.87936</v>
      </c>
    </row>
    <row r="1267" spans="1:4">
      <c r="A1267" s="16" t="s">
        <v>683</v>
      </c>
      <c r="B1267">
        <v>0</v>
      </c>
      <c r="C1267">
        <v>3.59424</v>
      </c>
      <c r="D1267">
        <v>3.59424</v>
      </c>
    </row>
    <row r="1268" spans="1:4">
      <c r="A1268" s="28" t="s">
        <v>10</v>
      </c>
      <c r="B1268">
        <v>0</v>
      </c>
      <c r="C1268">
        <v>3.59424</v>
      </c>
      <c r="D1268">
        <v>3.59424</v>
      </c>
    </row>
    <row r="1269" spans="1:4">
      <c r="A1269" s="16" t="s">
        <v>684</v>
      </c>
      <c r="B1269">
        <v>10.03104</v>
      </c>
      <c r="C1269">
        <v>0</v>
      </c>
      <c r="D1269">
        <v>10.03104</v>
      </c>
    </row>
    <row r="1270" spans="1:4">
      <c r="A1270" s="28" t="s">
        <v>10</v>
      </c>
      <c r="B1270">
        <v>10.03104</v>
      </c>
      <c r="C1270">
        <v>0</v>
      </c>
      <c r="D1270">
        <v>10.03104</v>
      </c>
    </row>
    <row r="1271" spans="1:4">
      <c r="A1271" s="16" t="s">
        <v>685</v>
      </c>
      <c r="B1271">
        <v>0</v>
      </c>
      <c r="C1271">
        <v>1.39567</v>
      </c>
      <c r="D1271">
        <v>1.39567</v>
      </c>
    </row>
    <row r="1272" spans="1:4">
      <c r="A1272" s="28" t="s">
        <v>10</v>
      </c>
      <c r="B1272">
        <v>0</v>
      </c>
      <c r="C1272">
        <v>1.39567</v>
      </c>
      <c r="D1272">
        <v>1.39567</v>
      </c>
    </row>
    <row r="1273" spans="1:4">
      <c r="A1273" s="16" t="s">
        <v>686</v>
      </c>
      <c r="B1273">
        <v>0.573885</v>
      </c>
      <c r="C1273">
        <v>0.009315</v>
      </c>
      <c r="D1273">
        <v>0.5832</v>
      </c>
    </row>
    <row r="1274" spans="1:4">
      <c r="A1274" s="28" t="s">
        <v>10</v>
      </c>
      <c r="B1274">
        <v>0.573885</v>
      </c>
      <c r="C1274">
        <v>0.009315</v>
      </c>
      <c r="D1274">
        <v>0.5832</v>
      </c>
    </row>
    <row r="1275" spans="1:4">
      <c r="A1275" s="16" t="s">
        <v>687</v>
      </c>
      <c r="B1275">
        <v>0.122092</v>
      </c>
      <c r="C1275">
        <v>0.019485</v>
      </c>
      <c r="D1275">
        <v>0.141577</v>
      </c>
    </row>
    <row r="1276" spans="1:4">
      <c r="A1276" s="28" t="s">
        <v>10</v>
      </c>
      <c r="B1276">
        <v>0.122092</v>
      </c>
      <c r="C1276">
        <v>0.019485</v>
      </c>
      <c r="D1276">
        <v>0.141577</v>
      </c>
    </row>
    <row r="1277" spans="1:4">
      <c r="A1277" s="16" t="s">
        <v>688</v>
      </c>
      <c r="B1277">
        <v>6.70536</v>
      </c>
      <c r="C1277">
        <v>0</v>
      </c>
      <c r="D1277">
        <v>6.70536</v>
      </c>
    </row>
    <row r="1278" spans="1:4">
      <c r="A1278" s="28" t="s">
        <v>10</v>
      </c>
      <c r="B1278">
        <v>6.70536</v>
      </c>
      <c r="C1278">
        <v>0</v>
      </c>
      <c r="D1278">
        <v>6.70536</v>
      </c>
    </row>
    <row r="1279" spans="1:4">
      <c r="A1279" s="16" t="s">
        <v>689</v>
      </c>
      <c r="B1279">
        <v>0.1944</v>
      </c>
      <c r="C1279">
        <v>0</v>
      </c>
      <c r="D1279">
        <v>0.1944</v>
      </c>
    </row>
    <row r="1280" spans="1:4">
      <c r="A1280" s="28" t="s">
        <v>10</v>
      </c>
      <c r="B1280">
        <v>0.1944</v>
      </c>
      <c r="C1280">
        <v>0</v>
      </c>
      <c r="D1280">
        <v>0.1944</v>
      </c>
    </row>
    <row r="1281" spans="1:4">
      <c r="A1281" s="16" t="s">
        <v>690</v>
      </c>
      <c r="B1281">
        <v>1.10304</v>
      </c>
      <c r="C1281">
        <v>0</v>
      </c>
      <c r="D1281">
        <v>1.10304</v>
      </c>
    </row>
    <row r="1282" spans="1:4">
      <c r="A1282" s="28" t="s">
        <v>10</v>
      </c>
      <c r="B1282">
        <v>1.10304</v>
      </c>
      <c r="C1282">
        <v>0</v>
      </c>
      <c r="D1282">
        <v>1.10304</v>
      </c>
    </row>
    <row r="1283" spans="1:4">
      <c r="A1283" s="16" t="s">
        <v>691</v>
      </c>
      <c r="B1283">
        <v>1.72653</v>
      </c>
      <c r="C1283">
        <v>3.906012</v>
      </c>
      <c r="D1283">
        <v>5.632542</v>
      </c>
    </row>
    <row r="1284" spans="1:4">
      <c r="A1284" s="28" t="s">
        <v>10</v>
      </c>
      <c r="B1284">
        <v>1.72653</v>
      </c>
      <c r="C1284">
        <v>3.906012</v>
      </c>
      <c r="D1284">
        <v>5.632542</v>
      </c>
    </row>
    <row r="1285" spans="1:4">
      <c r="A1285" s="16" t="s">
        <v>692</v>
      </c>
      <c r="B1285">
        <v>6.971145</v>
      </c>
      <c r="C1285">
        <v>5.205429</v>
      </c>
      <c r="D1285">
        <v>12.176574</v>
      </c>
    </row>
    <row r="1286" spans="1:4">
      <c r="A1286" s="28" t="s">
        <v>10</v>
      </c>
      <c r="B1286">
        <v>6.971145</v>
      </c>
      <c r="C1286">
        <v>5.205429</v>
      </c>
      <c r="D1286">
        <v>12.176574</v>
      </c>
    </row>
    <row r="1287" spans="1:4">
      <c r="A1287" s="16" t="s">
        <v>693</v>
      </c>
      <c r="B1287">
        <v>3.005975</v>
      </c>
      <c r="C1287">
        <v>0</v>
      </c>
      <c r="D1287">
        <v>3.005975</v>
      </c>
    </row>
    <row r="1288" spans="1:4">
      <c r="A1288" s="28" t="s">
        <v>10</v>
      </c>
      <c r="B1288">
        <v>3.005975</v>
      </c>
      <c r="C1288">
        <v>0</v>
      </c>
      <c r="D1288">
        <v>3.005975</v>
      </c>
    </row>
    <row r="1289" spans="1:4">
      <c r="A1289" s="16" t="s">
        <v>694</v>
      </c>
      <c r="B1289">
        <v>0.057371</v>
      </c>
      <c r="C1289">
        <v>65.08129</v>
      </c>
      <c r="D1289">
        <v>65.138661</v>
      </c>
    </row>
    <row r="1290" spans="1:4">
      <c r="A1290" s="28" t="s">
        <v>10</v>
      </c>
      <c r="B1290">
        <v>0.057371</v>
      </c>
      <c r="C1290">
        <v>65.08129</v>
      </c>
      <c r="D1290">
        <v>65.138661</v>
      </c>
    </row>
    <row r="1291" spans="1:4">
      <c r="A1291" s="16" t="s">
        <v>695</v>
      </c>
      <c r="B1291">
        <v>0.1944</v>
      </c>
      <c r="C1291">
        <v>0</v>
      </c>
      <c r="D1291">
        <v>0.1944</v>
      </c>
    </row>
    <row r="1292" spans="1:4">
      <c r="A1292" s="28" t="s">
        <v>10</v>
      </c>
      <c r="B1292">
        <v>0.1944</v>
      </c>
      <c r="C1292">
        <v>0</v>
      </c>
      <c r="D1292">
        <v>0.1944</v>
      </c>
    </row>
    <row r="1293" spans="1:4">
      <c r="A1293" s="16" t="s">
        <v>696</v>
      </c>
      <c r="B1293">
        <v>8.1648</v>
      </c>
      <c r="C1293">
        <v>0</v>
      </c>
      <c r="D1293">
        <v>8.1648</v>
      </c>
    </row>
    <row r="1294" spans="1:4">
      <c r="A1294" s="28" t="s">
        <v>10</v>
      </c>
      <c r="B1294">
        <v>8.1648</v>
      </c>
      <c r="C1294">
        <v>0</v>
      </c>
      <c r="D1294">
        <v>8.1648</v>
      </c>
    </row>
    <row r="1295" spans="1:4">
      <c r="A1295" s="16" t="s">
        <v>697</v>
      </c>
      <c r="B1295">
        <v>0.1944</v>
      </c>
      <c r="C1295">
        <v>0</v>
      </c>
      <c r="D1295">
        <v>0.1944</v>
      </c>
    </row>
    <row r="1296" spans="1:4">
      <c r="A1296" s="28" t="s">
        <v>10</v>
      </c>
      <c r="B1296">
        <v>0.1944</v>
      </c>
      <c r="C1296">
        <v>0</v>
      </c>
      <c r="D1296">
        <v>0.1944</v>
      </c>
    </row>
    <row r="1297" spans="1:4">
      <c r="A1297" s="16" t="s">
        <v>698</v>
      </c>
      <c r="B1297">
        <v>0.1944</v>
      </c>
      <c r="C1297">
        <v>0</v>
      </c>
      <c r="D1297">
        <v>0.1944</v>
      </c>
    </row>
    <row r="1298" spans="1:4">
      <c r="A1298" s="28" t="s">
        <v>10</v>
      </c>
      <c r="B1298">
        <v>0.1944</v>
      </c>
      <c r="C1298">
        <v>0</v>
      </c>
      <c r="D1298">
        <v>0.1944</v>
      </c>
    </row>
    <row r="1299" spans="1:4">
      <c r="A1299" s="16" t="s">
        <v>699</v>
      </c>
      <c r="B1299">
        <v>10.645217</v>
      </c>
      <c r="C1299">
        <v>10.927287</v>
      </c>
      <c r="D1299">
        <v>21.572504</v>
      </c>
    </row>
    <row r="1300" spans="1:4">
      <c r="A1300" s="28" t="s">
        <v>10</v>
      </c>
      <c r="B1300">
        <v>10.645217</v>
      </c>
      <c r="C1300">
        <v>10.927287</v>
      </c>
      <c r="D1300">
        <v>21.572504</v>
      </c>
    </row>
    <row r="1301" spans="1:4">
      <c r="A1301" s="16" t="s">
        <v>700</v>
      </c>
      <c r="B1301">
        <v>3.22272</v>
      </c>
      <c r="C1301">
        <v>0</v>
      </c>
      <c r="D1301">
        <v>3.22272</v>
      </c>
    </row>
    <row r="1302" spans="1:4">
      <c r="A1302" s="28" t="s">
        <v>10</v>
      </c>
      <c r="B1302">
        <v>3.22272</v>
      </c>
      <c r="C1302">
        <v>0</v>
      </c>
      <c r="D1302">
        <v>3.22272</v>
      </c>
    </row>
    <row r="1303" spans="1:4">
      <c r="A1303" s="16" t="s">
        <v>701</v>
      </c>
      <c r="B1303">
        <v>0.1944</v>
      </c>
      <c r="C1303">
        <v>0</v>
      </c>
      <c r="D1303">
        <v>0.1944</v>
      </c>
    </row>
    <row r="1304" spans="1:4">
      <c r="A1304" s="28" t="s">
        <v>10</v>
      </c>
      <c r="B1304">
        <v>0.1944</v>
      </c>
      <c r="C1304">
        <v>0</v>
      </c>
      <c r="D1304">
        <v>0.1944</v>
      </c>
    </row>
    <row r="1305" spans="1:4">
      <c r="A1305" s="16" t="s">
        <v>702</v>
      </c>
      <c r="B1305">
        <v>0.1944</v>
      </c>
      <c r="C1305">
        <v>0</v>
      </c>
      <c r="D1305">
        <v>0.1944</v>
      </c>
    </row>
    <row r="1306" spans="1:4">
      <c r="A1306" s="28" t="s">
        <v>10</v>
      </c>
      <c r="B1306">
        <v>0.1944</v>
      </c>
      <c r="C1306">
        <v>0</v>
      </c>
      <c r="D1306">
        <v>0.1944</v>
      </c>
    </row>
    <row r="1307" spans="1:4">
      <c r="A1307" s="16" t="s">
        <v>703</v>
      </c>
      <c r="B1307">
        <v>1.474812</v>
      </c>
      <c r="C1307">
        <v>0.04485</v>
      </c>
      <c r="D1307">
        <v>1.519662</v>
      </c>
    </row>
    <row r="1308" spans="1:4">
      <c r="A1308" s="28" t="s">
        <v>10</v>
      </c>
      <c r="B1308">
        <v>1.474812</v>
      </c>
      <c r="C1308">
        <v>0.04485</v>
      </c>
      <c r="D1308">
        <v>1.519662</v>
      </c>
    </row>
    <row r="1309" spans="1:4">
      <c r="A1309" s="16" t="s">
        <v>704</v>
      </c>
      <c r="B1309">
        <v>9.530004</v>
      </c>
      <c r="C1309">
        <v>0</v>
      </c>
      <c r="D1309">
        <v>9.530004</v>
      </c>
    </row>
    <row r="1310" spans="1:4">
      <c r="A1310" s="28" t="s">
        <v>10</v>
      </c>
      <c r="B1310">
        <v>9.530004</v>
      </c>
      <c r="C1310">
        <v>0</v>
      </c>
      <c r="D1310">
        <v>9.530004</v>
      </c>
    </row>
    <row r="1311" spans="1:4">
      <c r="A1311" s="16" t="s">
        <v>705</v>
      </c>
      <c r="B1311">
        <v>2.219558</v>
      </c>
      <c r="C1311">
        <v>0</v>
      </c>
      <c r="D1311">
        <v>2.219558</v>
      </c>
    </row>
    <row r="1312" spans="1:4">
      <c r="A1312" s="28" t="s">
        <v>10</v>
      </c>
      <c r="B1312">
        <v>2.219558</v>
      </c>
      <c r="C1312">
        <v>0</v>
      </c>
      <c r="D1312">
        <v>2.219558</v>
      </c>
    </row>
    <row r="1313" spans="1:4">
      <c r="A1313" s="16" t="s">
        <v>706</v>
      </c>
      <c r="B1313">
        <v>8.895008</v>
      </c>
      <c r="C1313">
        <v>0.149091</v>
      </c>
      <c r="D1313">
        <v>9.044099</v>
      </c>
    </row>
    <row r="1314" spans="1:4">
      <c r="A1314" s="28" t="s">
        <v>10</v>
      </c>
      <c r="B1314">
        <v>8.895008</v>
      </c>
      <c r="C1314">
        <v>0.149091</v>
      </c>
      <c r="D1314">
        <v>9.044099</v>
      </c>
    </row>
    <row r="1315" spans="1:4">
      <c r="A1315" s="16" t="s">
        <v>707</v>
      </c>
      <c r="B1315">
        <v>0.879519</v>
      </c>
      <c r="C1315">
        <v>4.904961</v>
      </c>
      <c r="D1315">
        <v>5.78448</v>
      </c>
    </row>
    <row r="1316" spans="1:4">
      <c r="A1316" s="28" t="s">
        <v>10</v>
      </c>
      <c r="B1316">
        <v>0.879519</v>
      </c>
      <c r="C1316">
        <v>4.904961</v>
      </c>
      <c r="D1316">
        <v>5.78448</v>
      </c>
    </row>
    <row r="1317" spans="1:4">
      <c r="A1317" s="16" t="s">
        <v>708</v>
      </c>
      <c r="B1317">
        <v>1.1016</v>
      </c>
      <c r="C1317">
        <v>0</v>
      </c>
      <c r="D1317">
        <v>1.1016</v>
      </c>
    </row>
    <row r="1318" spans="1:4">
      <c r="A1318" s="28" t="s">
        <v>10</v>
      </c>
      <c r="B1318">
        <v>1.1016</v>
      </c>
      <c r="C1318">
        <v>0</v>
      </c>
      <c r="D1318">
        <v>1.1016</v>
      </c>
    </row>
    <row r="1319" spans="1:4">
      <c r="A1319" s="16" t="s">
        <v>709</v>
      </c>
      <c r="B1319">
        <v>5.85296</v>
      </c>
      <c r="C1319">
        <v>0</v>
      </c>
      <c r="D1319">
        <v>5.85296</v>
      </c>
    </row>
    <row r="1320" spans="1:4">
      <c r="A1320" s="28" t="s">
        <v>10</v>
      </c>
      <c r="B1320">
        <v>5.85296</v>
      </c>
      <c r="C1320">
        <v>0</v>
      </c>
      <c r="D1320">
        <v>5.85296</v>
      </c>
    </row>
    <row r="1321" spans="1:4">
      <c r="A1321" s="16" t="s">
        <v>710</v>
      </c>
      <c r="B1321">
        <v>0</v>
      </c>
      <c r="C1321">
        <v>3.59496</v>
      </c>
      <c r="D1321">
        <v>3.59496</v>
      </c>
    </row>
    <row r="1322" spans="1:4">
      <c r="A1322" s="28" t="s">
        <v>10</v>
      </c>
      <c r="B1322">
        <v>0</v>
      </c>
      <c r="C1322">
        <v>3.59496</v>
      </c>
      <c r="D1322">
        <v>3.59496</v>
      </c>
    </row>
    <row r="1323" spans="1:4">
      <c r="A1323" s="16" t="s">
        <v>711</v>
      </c>
      <c r="B1323">
        <v>0.834998</v>
      </c>
      <c r="C1323">
        <v>0.003195</v>
      </c>
      <c r="D1323">
        <v>0.838193</v>
      </c>
    </row>
    <row r="1324" spans="1:4">
      <c r="A1324" s="28" t="s">
        <v>10</v>
      </c>
      <c r="B1324">
        <v>0.834998</v>
      </c>
      <c r="C1324">
        <v>0.003195</v>
      </c>
      <c r="D1324">
        <v>0.838193</v>
      </c>
    </row>
    <row r="1325" spans="1:4">
      <c r="A1325" s="16" t="s">
        <v>712</v>
      </c>
      <c r="B1325">
        <v>0.14688</v>
      </c>
      <c r="C1325">
        <v>0</v>
      </c>
      <c r="D1325">
        <v>0.14688</v>
      </c>
    </row>
    <row r="1326" spans="1:4">
      <c r="A1326" s="28" t="s">
        <v>10</v>
      </c>
      <c r="B1326">
        <v>0.14688</v>
      </c>
      <c r="C1326">
        <v>0</v>
      </c>
      <c r="D1326">
        <v>0.14688</v>
      </c>
    </row>
    <row r="1327" spans="1:4">
      <c r="A1327" s="16" t="s">
        <v>713</v>
      </c>
      <c r="B1327">
        <v>0.139754</v>
      </c>
      <c r="C1327">
        <v>3.949846</v>
      </c>
      <c r="D1327">
        <v>4.0896</v>
      </c>
    </row>
    <row r="1328" spans="1:4">
      <c r="A1328" s="28" t="s">
        <v>10</v>
      </c>
      <c r="B1328">
        <v>0.139754</v>
      </c>
      <c r="C1328">
        <v>3.949846</v>
      </c>
      <c r="D1328">
        <v>4.0896</v>
      </c>
    </row>
    <row r="1329" spans="1:4">
      <c r="A1329" s="16" t="s">
        <v>714</v>
      </c>
      <c r="B1329">
        <v>482.793132</v>
      </c>
      <c r="C1329">
        <v>8.481704</v>
      </c>
      <c r="D1329">
        <v>491.274836</v>
      </c>
    </row>
    <row r="1330" spans="1:4">
      <c r="A1330" s="28" t="s">
        <v>715</v>
      </c>
      <c r="B1330">
        <v>482.793132</v>
      </c>
      <c r="C1330">
        <v>8.481704</v>
      </c>
      <c r="D1330">
        <v>491.274836</v>
      </c>
    </row>
    <row r="1331" spans="1:4">
      <c r="A1331" s="16" t="s">
        <v>716</v>
      </c>
      <c r="B1331">
        <v>3.70332</v>
      </c>
      <c r="C1331">
        <v>0</v>
      </c>
      <c r="D1331">
        <v>3.70332</v>
      </c>
    </row>
    <row r="1332" spans="1:4">
      <c r="A1332" s="28" t="s">
        <v>10</v>
      </c>
      <c r="B1332">
        <v>3.70332</v>
      </c>
      <c r="C1332">
        <v>0</v>
      </c>
      <c r="D1332">
        <v>3.70332</v>
      </c>
    </row>
    <row r="1333" spans="1:4">
      <c r="A1333" s="16" t="s">
        <v>717</v>
      </c>
      <c r="B1333">
        <v>0.1944</v>
      </c>
      <c r="C1333">
        <v>0</v>
      </c>
      <c r="D1333">
        <v>0.1944</v>
      </c>
    </row>
    <row r="1334" spans="1:4">
      <c r="A1334" s="28" t="s">
        <v>10</v>
      </c>
      <c r="B1334">
        <v>0.1944</v>
      </c>
      <c r="C1334">
        <v>0</v>
      </c>
      <c r="D1334">
        <v>0.1944</v>
      </c>
    </row>
    <row r="1335" spans="1:4">
      <c r="A1335" s="16" t="s">
        <v>718</v>
      </c>
      <c r="B1335">
        <v>11.21566</v>
      </c>
      <c r="C1335">
        <v>17.41857</v>
      </c>
      <c r="D1335">
        <v>28.63423</v>
      </c>
    </row>
    <row r="1336" spans="1:4">
      <c r="A1336" s="28" t="s">
        <v>10</v>
      </c>
      <c r="B1336">
        <v>11.21566</v>
      </c>
      <c r="C1336">
        <v>17.41857</v>
      </c>
      <c r="D1336">
        <v>28.63423</v>
      </c>
    </row>
    <row r="1337" spans="1:4">
      <c r="A1337" s="16" t="s">
        <v>719</v>
      </c>
      <c r="B1337">
        <v>0</v>
      </c>
      <c r="C1337">
        <v>9.772458</v>
      </c>
      <c r="D1337">
        <v>9.772458</v>
      </c>
    </row>
    <row r="1338" spans="1:4">
      <c r="A1338" s="28" t="s">
        <v>720</v>
      </c>
      <c r="B1338">
        <v>0</v>
      </c>
      <c r="C1338">
        <v>9.772458</v>
      </c>
      <c r="D1338">
        <v>9.772458</v>
      </c>
    </row>
    <row r="1339" spans="1:4">
      <c r="A1339" s="16" t="s">
        <v>721</v>
      </c>
      <c r="B1339">
        <v>1.079715</v>
      </c>
      <c r="C1339">
        <v>5.799885</v>
      </c>
      <c r="D1339">
        <v>6.8796</v>
      </c>
    </row>
    <row r="1340" spans="1:4">
      <c r="A1340" s="28" t="s">
        <v>10</v>
      </c>
      <c r="B1340">
        <v>1.079715</v>
      </c>
      <c r="C1340">
        <v>5.799885</v>
      </c>
      <c r="D1340">
        <v>6.8796</v>
      </c>
    </row>
    <row r="1341" spans="1:4">
      <c r="A1341" s="16" t="s">
        <v>722</v>
      </c>
      <c r="B1341">
        <v>0.1944</v>
      </c>
      <c r="C1341">
        <v>0</v>
      </c>
      <c r="D1341">
        <v>0.1944</v>
      </c>
    </row>
    <row r="1342" spans="1:4">
      <c r="A1342" s="28" t="s">
        <v>10</v>
      </c>
      <c r="B1342">
        <v>0.1944</v>
      </c>
      <c r="C1342">
        <v>0</v>
      </c>
      <c r="D1342">
        <v>0.1944</v>
      </c>
    </row>
    <row r="1343" spans="1:4">
      <c r="A1343" s="16" t="s">
        <v>723</v>
      </c>
      <c r="B1343">
        <v>42.313073</v>
      </c>
      <c r="C1343">
        <v>15.86611</v>
      </c>
      <c r="D1343">
        <v>58.179183</v>
      </c>
    </row>
    <row r="1344" spans="1:4">
      <c r="A1344" s="28" t="s">
        <v>10</v>
      </c>
      <c r="B1344">
        <v>42.313073</v>
      </c>
      <c r="C1344">
        <v>15.86611</v>
      </c>
      <c r="D1344">
        <v>58.179183</v>
      </c>
    </row>
    <row r="1345" spans="1:4">
      <c r="A1345" s="16" t="s">
        <v>724</v>
      </c>
      <c r="B1345">
        <v>0.3888</v>
      </c>
      <c r="C1345">
        <v>0</v>
      </c>
      <c r="D1345">
        <v>0.3888</v>
      </c>
    </row>
    <row r="1346" spans="1:4">
      <c r="A1346" s="28" t="s">
        <v>10</v>
      </c>
      <c r="B1346">
        <v>0.3888</v>
      </c>
      <c r="C1346">
        <v>0</v>
      </c>
      <c r="D1346">
        <v>0.3888</v>
      </c>
    </row>
    <row r="1347" spans="1:4">
      <c r="A1347" s="16" t="s">
        <v>725</v>
      </c>
      <c r="B1347">
        <v>0.840664</v>
      </c>
      <c r="C1347">
        <v>14.101496</v>
      </c>
      <c r="D1347">
        <v>14.94216</v>
      </c>
    </row>
    <row r="1348" spans="1:4">
      <c r="A1348" s="28" t="s">
        <v>10</v>
      </c>
      <c r="B1348">
        <v>0.840664</v>
      </c>
      <c r="C1348">
        <v>14.101496</v>
      </c>
      <c r="D1348">
        <v>14.94216</v>
      </c>
    </row>
    <row r="1349" spans="1:4">
      <c r="A1349" s="16" t="s">
        <v>726</v>
      </c>
      <c r="B1349">
        <v>0.7456</v>
      </c>
      <c r="C1349">
        <v>0</v>
      </c>
      <c r="D1349">
        <v>0.7456</v>
      </c>
    </row>
    <row r="1350" spans="1:4">
      <c r="A1350" s="28" t="s">
        <v>10</v>
      </c>
      <c r="B1350">
        <v>0.7456</v>
      </c>
      <c r="C1350">
        <v>0</v>
      </c>
      <c r="D1350">
        <v>0.7456</v>
      </c>
    </row>
    <row r="1351" spans="1:4">
      <c r="A1351" s="16" t="s">
        <v>727</v>
      </c>
      <c r="B1351">
        <v>0.895318</v>
      </c>
      <c r="C1351">
        <v>277.051095</v>
      </c>
      <c r="D1351">
        <v>277.946413</v>
      </c>
    </row>
    <row r="1352" spans="1:4">
      <c r="A1352" s="28" t="s">
        <v>10</v>
      </c>
      <c r="B1352">
        <v>0.895318</v>
      </c>
      <c r="C1352">
        <v>277.051095</v>
      </c>
      <c r="D1352">
        <v>277.946413</v>
      </c>
    </row>
    <row r="1353" spans="1:4">
      <c r="A1353" s="16" t="s">
        <v>728</v>
      </c>
      <c r="B1353">
        <v>8.339591</v>
      </c>
      <c r="C1353">
        <v>0</v>
      </c>
      <c r="D1353">
        <v>8.339591</v>
      </c>
    </row>
    <row r="1354" spans="1:4">
      <c r="A1354" s="28" t="s">
        <v>10</v>
      </c>
      <c r="B1354">
        <v>8.339591</v>
      </c>
      <c r="C1354">
        <v>0</v>
      </c>
      <c r="D1354">
        <v>8.339591</v>
      </c>
    </row>
    <row r="1355" spans="1:4">
      <c r="A1355" s="16" t="s">
        <v>729</v>
      </c>
      <c r="B1355">
        <v>3.05975</v>
      </c>
      <c r="C1355">
        <v>10.23505</v>
      </c>
      <c r="D1355">
        <v>13.2948</v>
      </c>
    </row>
    <row r="1356" spans="1:4">
      <c r="A1356" s="28" t="s">
        <v>720</v>
      </c>
      <c r="B1356">
        <v>3.05975</v>
      </c>
      <c r="C1356">
        <v>10.23505</v>
      </c>
      <c r="D1356">
        <v>13.2948</v>
      </c>
    </row>
    <row r="1357" spans="1:4">
      <c r="A1357" s="16" t="s">
        <v>730</v>
      </c>
      <c r="B1357">
        <v>0.1944</v>
      </c>
      <c r="C1357">
        <v>0</v>
      </c>
      <c r="D1357">
        <v>0.1944</v>
      </c>
    </row>
    <row r="1358" spans="1:4">
      <c r="A1358" s="28" t="s">
        <v>10</v>
      </c>
      <c r="B1358">
        <v>0.1944</v>
      </c>
      <c r="C1358">
        <v>0</v>
      </c>
      <c r="D1358">
        <v>0.1944</v>
      </c>
    </row>
    <row r="1359" spans="1:4">
      <c r="A1359" s="16" t="s">
        <v>731</v>
      </c>
      <c r="B1359">
        <v>16.366386</v>
      </c>
      <c r="C1359">
        <v>0.1944</v>
      </c>
      <c r="D1359">
        <v>16.560786</v>
      </c>
    </row>
    <row r="1360" spans="1:4">
      <c r="A1360" s="28" t="s">
        <v>10</v>
      </c>
      <c r="B1360">
        <v>16.366386</v>
      </c>
      <c r="C1360">
        <v>0.1944</v>
      </c>
      <c r="D1360">
        <v>16.560786</v>
      </c>
    </row>
    <row r="1361" spans="1:4">
      <c r="A1361" s="16" t="s">
        <v>732</v>
      </c>
      <c r="B1361">
        <v>0.1944</v>
      </c>
      <c r="C1361">
        <v>0</v>
      </c>
      <c r="D1361">
        <v>0.1944</v>
      </c>
    </row>
    <row r="1362" spans="1:4">
      <c r="A1362" s="28" t="s">
        <v>10</v>
      </c>
      <c r="B1362">
        <v>0.1944</v>
      </c>
      <c r="C1362">
        <v>0</v>
      </c>
      <c r="D1362">
        <v>0.1944</v>
      </c>
    </row>
    <row r="1363" spans="1:4">
      <c r="A1363" s="16" t="s">
        <v>733</v>
      </c>
      <c r="B1363">
        <v>0.341212</v>
      </c>
      <c r="C1363">
        <v>0</v>
      </c>
      <c r="D1363">
        <v>0.341212</v>
      </c>
    </row>
    <row r="1364" spans="1:4">
      <c r="A1364" s="28" t="s">
        <v>10</v>
      </c>
      <c r="B1364">
        <v>0.341212</v>
      </c>
      <c r="C1364">
        <v>0</v>
      </c>
      <c r="D1364">
        <v>0.341212</v>
      </c>
    </row>
    <row r="1365" spans="1:4">
      <c r="A1365" s="16" t="s">
        <v>734</v>
      </c>
      <c r="B1365">
        <v>11.424858</v>
      </c>
      <c r="C1365">
        <v>0</v>
      </c>
      <c r="D1365">
        <v>11.424858</v>
      </c>
    </row>
    <row r="1366" spans="1:4">
      <c r="A1366" s="28" t="s">
        <v>10</v>
      </c>
      <c r="B1366">
        <v>11.424858</v>
      </c>
      <c r="C1366">
        <v>0</v>
      </c>
      <c r="D1366">
        <v>11.424858</v>
      </c>
    </row>
    <row r="1367" spans="1:4">
      <c r="A1367" s="16" t="s">
        <v>735</v>
      </c>
      <c r="B1367">
        <v>0.925037</v>
      </c>
      <c r="C1367">
        <v>2.170087</v>
      </c>
      <c r="D1367">
        <v>3.095124</v>
      </c>
    </row>
    <row r="1368" spans="1:4">
      <c r="A1368" s="28" t="s">
        <v>10</v>
      </c>
      <c r="B1368">
        <v>0.925037</v>
      </c>
      <c r="C1368">
        <v>2.170087</v>
      </c>
      <c r="D1368">
        <v>3.095124</v>
      </c>
    </row>
    <row r="1369" spans="1:4">
      <c r="A1369" s="16" t="s">
        <v>736</v>
      </c>
      <c r="B1369">
        <v>407.690542</v>
      </c>
      <c r="C1369">
        <v>7.5</v>
      </c>
      <c r="D1369">
        <v>415.190542</v>
      </c>
    </row>
    <row r="1370" spans="1:4">
      <c r="A1370" s="28" t="s">
        <v>10</v>
      </c>
      <c r="B1370">
        <v>407.690542</v>
      </c>
      <c r="C1370">
        <v>7.5</v>
      </c>
      <c r="D1370">
        <v>415.190542</v>
      </c>
    </row>
    <row r="1371" spans="1:4">
      <c r="A1371" s="16" t="s">
        <v>737</v>
      </c>
      <c r="B1371">
        <v>18.816527</v>
      </c>
      <c r="C1371">
        <v>15.171585</v>
      </c>
      <c r="D1371">
        <v>33.988112</v>
      </c>
    </row>
    <row r="1372" spans="1:4">
      <c r="A1372" s="28" t="s">
        <v>10</v>
      </c>
      <c r="B1372">
        <v>18.816527</v>
      </c>
      <c r="C1372">
        <v>15.171585</v>
      </c>
      <c r="D1372">
        <v>33.988112</v>
      </c>
    </row>
    <row r="1373" spans="1:4">
      <c r="A1373" s="16" t="s">
        <v>738</v>
      </c>
      <c r="B1373">
        <v>0.34128</v>
      </c>
      <c r="C1373">
        <v>0</v>
      </c>
      <c r="D1373">
        <v>0.34128</v>
      </c>
    </row>
    <row r="1374" spans="1:4">
      <c r="A1374" s="28" t="s">
        <v>10</v>
      </c>
      <c r="B1374">
        <v>0.34128</v>
      </c>
      <c r="C1374">
        <v>0</v>
      </c>
      <c r="D1374">
        <v>0.34128</v>
      </c>
    </row>
    <row r="1375" spans="1:4">
      <c r="A1375" s="16" t="s">
        <v>739</v>
      </c>
      <c r="B1375">
        <v>6.173144</v>
      </c>
      <c r="C1375">
        <v>0</v>
      </c>
      <c r="D1375">
        <v>6.173144</v>
      </c>
    </row>
    <row r="1376" spans="1:4">
      <c r="A1376" s="28" t="s">
        <v>10</v>
      </c>
      <c r="B1376">
        <v>6.173144</v>
      </c>
      <c r="C1376">
        <v>0</v>
      </c>
      <c r="D1376">
        <v>6.173144</v>
      </c>
    </row>
    <row r="1377" spans="1:4">
      <c r="A1377" s="16" t="s">
        <v>740</v>
      </c>
      <c r="B1377">
        <v>1.399508</v>
      </c>
      <c r="C1377">
        <v>0.08976</v>
      </c>
      <c r="D1377">
        <v>1.489268</v>
      </c>
    </row>
    <row r="1378" spans="1:4">
      <c r="A1378" s="28" t="s">
        <v>10</v>
      </c>
      <c r="B1378">
        <v>1.399508</v>
      </c>
      <c r="C1378">
        <v>0.08976</v>
      </c>
      <c r="D1378">
        <v>1.489268</v>
      </c>
    </row>
    <row r="1379" spans="1:4">
      <c r="A1379" s="16" t="s">
        <v>741</v>
      </c>
      <c r="B1379">
        <v>0</v>
      </c>
      <c r="C1379">
        <v>0.054967</v>
      </c>
      <c r="D1379">
        <v>0.054967</v>
      </c>
    </row>
    <row r="1380" spans="1:4">
      <c r="A1380" s="28" t="s">
        <v>10</v>
      </c>
      <c r="B1380">
        <v>0</v>
      </c>
      <c r="C1380">
        <v>0.054967</v>
      </c>
      <c r="D1380">
        <v>0.054967</v>
      </c>
    </row>
    <row r="1381" spans="1:4">
      <c r="A1381" s="16" t="s">
        <v>742</v>
      </c>
      <c r="B1381">
        <v>0.720684</v>
      </c>
      <c r="C1381">
        <v>0.203694</v>
      </c>
      <c r="D1381">
        <v>0.924378</v>
      </c>
    </row>
    <row r="1382" spans="1:4">
      <c r="A1382" s="28" t="s">
        <v>10</v>
      </c>
      <c r="B1382">
        <v>0.720684</v>
      </c>
      <c r="C1382">
        <v>0.203694</v>
      </c>
      <c r="D1382">
        <v>0.924378</v>
      </c>
    </row>
    <row r="1383" spans="1:4">
      <c r="A1383" s="16" t="s">
        <v>743</v>
      </c>
      <c r="B1383">
        <v>0.1944</v>
      </c>
      <c r="C1383">
        <v>0</v>
      </c>
      <c r="D1383">
        <v>0.1944</v>
      </c>
    </row>
    <row r="1384" spans="1:4">
      <c r="A1384" s="28" t="s">
        <v>10</v>
      </c>
      <c r="B1384">
        <v>0.1944</v>
      </c>
      <c r="C1384">
        <v>0</v>
      </c>
      <c r="D1384">
        <v>0.1944</v>
      </c>
    </row>
    <row r="1385" spans="1:4">
      <c r="A1385" s="16" t="s">
        <v>744</v>
      </c>
      <c r="B1385">
        <v>0.1944</v>
      </c>
      <c r="C1385">
        <v>0</v>
      </c>
      <c r="D1385">
        <v>0.1944</v>
      </c>
    </row>
    <row r="1386" spans="1:4">
      <c r="A1386" s="28" t="s">
        <v>10</v>
      </c>
      <c r="B1386">
        <v>0.1944</v>
      </c>
      <c r="C1386">
        <v>0</v>
      </c>
      <c r="D1386">
        <v>0.1944</v>
      </c>
    </row>
    <row r="1387" spans="1:4">
      <c r="A1387" s="16" t="s">
        <v>745</v>
      </c>
      <c r="B1387">
        <v>0.904948</v>
      </c>
      <c r="C1387">
        <v>60.592046</v>
      </c>
      <c r="D1387">
        <v>61.496994</v>
      </c>
    </row>
    <row r="1388" spans="1:4">
      <c r="A1388" s="28" t="s">
        <v>10</v>
      </c>
      <c r="B1388">
        <v>0.904948</v>
      </c>
      <c r="C1388">
        <v>60.592046</v>
      </c>
      <c r="D1388">
        <v>61.496994</v>
      </c>
    </row>
    <row r="1389" spans="1:4">
      <c r="A1389" s="16" t="s">
        <v>746</v>
      </c>
      <c r="B1389">
        <v>13.280789</v>
      </c>
      <c r="C1389">
        <v>5.259041</v>
      </c>
      <c r="D1389">
        <v>18.53983</v>
      </c>
    </row>
    <row r="1390" spans="1:4">
      <c r="A1390" s="28" t="s">
        <v>10</v>
      </c>
      <c r="B1390">
        <v>13.280789</v>
      </c>
      <c r="C1390">
        <v>5.259041</v>
      </c>
      <c r="D1390">
        <v>18.53983</v>
      </c>
    </row>
    <row r="1391" spans="1:4">
      <c r="A1391" s="16" t="s">
        <v>747</v>
      </c>
      <c r="B1391">
        <v>603.300278</v>
      </c>
      <c r="C1391">
        <v>14.5</v>
      </c>
      <c r="D1391">
        <v>617.800278</v>
      </c>
    </row>
    <row r="1392" spans="1:4">
      <c r="A1392" s="28" t="s">
        <v>748</v>
      </c>
      <c r="B1392">
        <v>603.300278</v>
      </c>
      <c r="C1392">
        <v>14.5</v>
      </c>
      <c r="D1392">
        <v>617.800278</v>
      </c>
    </row>
    <row r="1393" spans="1:4">
      <c r="A1393" s="16" t="s">
        <v>749</v>
      </c>
      <c r="B1393">
        <v>1.1628</v>
      </c>
      <c r="C1393">
        <v>0</v>
      </c>
      <c r="D1393">
        <v>1.1628</v>
      </c>
    </row>
    <row r="1394" spans="1:4">
      <c r="A1394" s="28" t="s">
        <v>10</v>
      </c>
      <c r="B1394">
        <v>1.1628</v>
      </c>
      <c r="C1394">
        <v>0</v>
      </c>
      <c r="D1394">
        <v>1.1628</v>
      </c>
    </row>
    <row r="1395" spans="1:4">
      <c r="A1395" s="16" t="s">
        <v>750</v>
      </c>
      <c r="B1395">
        <v>2.090812</v>
      </c>
      <c r="C1395">
        <v>0</v>
      </c>
      <c r="D1395">
        <v>2.090812</v>
      </c>
    </row>
    <row r="1396" spans="1:4">
      <c r="A1396" s="28" t="s">
        <v>10</v>
      </c>
      <c r="B1396">
        <v>2.090812</v>
      </c>
      <c r="C1396">
        <v>0</v>
      </c>
      <c r="D1396">
        <v>2.090812</v>
      </c>
    </row>
    <row r="1397" spans="1:4">
      <c r="A1397" s="16" t="s">
        <v>751</v>
      </c>
      <c r="B1397">
        <v>6.855432</v>
      </c>
      <c r="C1397">
        <v>0</v>
      </c>
      <c r="D1397">
        <v>6.855432</v>
      </c>
    </row>
    <row r="1398" spans="1:4">
      <c r="A1398" s="28" t="s">
        <v>10</v>
      </c>
      <c r="B1398">
        <v>6.855432</v>
      </c>
      <c r="C1398">
        <v>0</v>
      </c>
      <c r="D1398">
        <v>6.855432</v>
      </c>
    </row>
    <row r="1399" spans="1:4">
      <c r="A1399" s="16" t="s">
        <v>752</v>
      </c>
      <c r="B1399">
        <v>3787.59907</v>
      </c>
      <c r="C1399">
        <v>0</v>
      </c>
      <c r="D1399">
        <v>3787.59907</v>
      </c>
    </row>
    <row r="1400" spans="1:4">
      <c r="A1400" s="28" t="s">
        <v>10</v>
      </c>
      <c r="B1400">
        <v>3787.59907</v>
      </c>
      <c r="C1400">
        <v>0</v>
      </c>
      <c r="D1400">
        <v>3787.59907</v>
      </c>
    </row>
    <row r="1401" spans="1:4">
      <c r="A1401" s="16" t="s">
        <v>753</v>
      </c>
      <c r="B1401">
        <v>19.856352</v>
      </c>
      <c r="C1401">
        <v>15.330255</v>
      </c>
      <c r="D1401">
        <v>35.186607</v>
      </c>
    </row>
    <row r="1402" spans="1:4">
      <c r="A1402" s="28" t="s">
        <v>10</v>
      </c>
      <c r="B1402">
        <v>19.856352</v>
      </c>
      <c r="C1402">
        <v>15.330255</v>
      </c>
      <c r="D1402">
        <v>35.186607</v>
      </c>
    </row>
    <row r="1403" spans="1:4">
      <c r="A1403" s="16" t="s">
        <v>754</v>
      </c>
      <c r="B1403">
        <v>5.970606</v>
      </c>
      <c r="C1403">
        <v>0</v>
      </c>
      <c r="D1403">
        <v>5.970606</v>
      </c>
    </row>
    <row r="1404" spans="1:4">
      <c r="A1404" s="28" t="s">
        <v>10</v>
      </c>
      <c r="B1404">
        <v>5.970606</v>
      </c>
      <c r="C1404">
        <v>0</v>
      </c>
      <c r="D1404">
        <v>5.970606</v>
      </c>
    </row>
    <row r="1405" spans="1:4">
      <c r="A1405" s="16" t="s">
        <v>755</v>
      </c>
      <c r="B1405">
        <v>3.732552</v>
      </c>
      <c r="C1405">
        <v>0</v>
      </c>
      <c r="D1405">
        <v>3.732552</v>
      </c>
    </row>
    <row r="1406" spans="1:4">
      <c r="A1406" s="28" t="s">
        <v>10</v>
      </c>
      <c r="B1406">
        <v>3.732552</v>
      </c>
      <c r="C1406">
        <v>0</v>
      </c>
      <c r="D1406">
        <v>3.732552</v>
      </c>
    </row>
    <row r="1407" spans="1:4">
      <c r="A1407" s="16" t="s">
        <v>756</v>
      </c>
      <c r="B1407">
        <v>0.341178</v>
      </c>
      <c r="C1407">
        <v>0</v>
      </c>
      <c r="D1407">
        <v>0.341178</v>
      </c>
    </row>
    <row r="1408" spans="1:4">
      <c r="A1408" s="28" t="s">
        <v>10</v>
      </c>
      <c r="B1408">
        <v>0.341178</v>
      </c>
      <c r="C1408">
        <v>0</v>
      </c>
      <c r="D1408">
        <v>0.341178</v>
      </c>
    </row>
    <row r="1409" spans="1:4">
      <c r="A1409" s="16" t="s">
        <v>757</v>
      </c>
      <c r="B1409">
        <v>0</v>
      </c>
      <c r="C1409">
        <v>28.88712</v>
      </c>
      <c r="D1409">
        <v>28.88712</v>
      </c>
    </row>
    <row r="1410" spans="1:4">
      <c r="A1410" s="28" t="s">
        <v>10</v>
      </c>
      <c r="B1410">
        <v>0</v>
      </c>
      <c r="C1410">
        <v>28.88712</v>
      </c>
      <c r="D1410">
        <v>28.88712</v>
      </c>
    </row>
    <row r="1411" spans="1:4">
      <c r="A1411" s="16" t="s">
        <v>758</v>
      </c>
      <c r="B1411">
        <v>46.229546</v>
      </c>
      <c r="C1411">
        <v>7</v>
      </c>
      <c r="D1411">
        <v>53.229546</v>
      </c>
    </row>
    <row r="1412" spans="1:4">
      <c r="A1412" s="28" t="s">
        <v>10</v>
      </c>
      <c r="B1412">
        <v>46.229546</v>
      </c>
      <c r="C1412">
        <v>7</v>
      </c>
      <c r="D1412">
        <v>53.229546</v>
      </c>
    </row>
    <row r="1413" spans="1:4">
      <c r="A1413" s="16" t="s">
        <v>759</v>
      </c>
      <c r="B1413">
        <v>7.56574</v>
      </c>
      <c r="C1413">
        <v>7.591575</v>
      </c>
      <c r="D1413">
        <v>15.157315</v>
      </c>
    </row>
    <row r="1414" spans="1:4">
      <c r="A1414" s="28" t="s">
        <v>10</v>
      </c>
      <c r="B1414">
        <v>7.56574</v>
      </c>
      <c r="C1414">
        <v>7.591575</v>
      </c>
      <c r="D1414">
        <v>15.157315</v>
      </c>
    </row>
    <row r="1415" spans="1:4">
      <c r="A1415" s="16" t="s">
        <v>760</v>
      </c>
      <c r="B1415">
        <v>5.003908</v>
      </c>
      <c r="C1415">
        <v>0</v>
      </c>
      <c r="D1415">
        <v>5.003908</v>
      </c>
    </row>
    <row r="1416" spans="1:4">
      <c r="A1416" s="28" t="s">
        <v>10</v>
      </c>
      <c r="B1416">
        <v>5.003908</v>
      </c>
      <c r="C1416">
        <v>0</v>
      </c>
      <c r="D1416">
        <v>5.003908</v>
      </c>
    </row>
    <row r="1417" spans="1:4">
      <c r="A1417" s="16" t="s">
        <v>761</v>
      </c>
      <c r="B1417">
        <v>1.81041</v>
      </c>
      <c r="C1417">
        <v>0</v>
      </c>
      <c r="D1417">
        <v>1.81041</v>
      </c>
    </row>
    <row r="1418" spans="1:4">
      <c r="A1418" s="28" t="s">
        <v>10</v>
      </c>
      <c r="B1418">
        <v>1.81041</v>
      </c>
      <c r="C1418">
        <v>0</v>
      </c>
      <c r="D1418">
        <v>1.81041</v>
      </c>
    </row>
    <row r="1419" spans="1:4">
      <c r="A1419" s="16" t="s">
        <v>762</v>
      </c>
      <c r="B1419">
        <v>1338.430046</v>
      </c>
      <c r="C1419">
        <v>7.8888</v>
      </c>
      <c r="D1419">
        <v>1346.318846</v>
      </c>
    </row>
    <row r="1420" spans="1:4">
      <c r="A1420" s="28" t="s">
        <v>763</v>
      </c>
      <c r="B1420">
        <v>1338.430046</v>
      </c>
      <c r="C1420">
        <v>7.8888</v>
      </c>
      <c r="D1420">
        <v>1346.318846</v>
      </c>
    </row>
    <row r="1421" spans="1:4">
      <c r="A1421" s="16" t="s">
        <v>764</v>
      </c>
      <c r="B1421">
        <v>1.34806</v>
      </c>
      <c r="C1421">
        <v>2.13098</v>
      </c>
      <c r="D1421">
        <v>3.47904</v>
      </c>
    </row>
    <row r="1422" spans="1:4">
      <c r="A1422" s="28" t="s">
        <v>10</v>
      </c>
      <c r="B1422">
        <v>1.34806</v>
      </c>
      <c r="C1422">
        <v>2.13098</v>
      </c>
      <c r="D1422">
        <v>3.47904</v>
      </c>
    </row>
    <row r="1423" spans="1:4">
      <c r="A1423" s="16" t="s">
        <v>765</v>
      </c>
      <c r="B1423">
        <v>0.167294</v>
      </c>
      <c r="C1423">
        <v>0</v>
      </c>
      <c r="D1423">
        <v>0.167294</v>
      </c>
    </row>
    <row r="1424" spans="1:4">
      <c r="A1424" s="28" t="s">
        <v>10</v>
      </c>
      <c r="B1424">
        <v>0.167294</v>
      </c>
      <c r="C1424">
        <v>0</v>
      </c>
      <c r="D1424">
        <v>0.167294</v>
      </c>
    </row>
    <row r="1425" spans="1:4">
      <c r="A1425" s="16" t="s">
        <v>766</v>
      </c>
      <c r="B1425">
        <v>0.014446</v>
      </c>
      <c r="C1425">
        <v>0</v>
      </c>
      <c r="D1425">
        <v>0.014446</v>
      </c>
    </row>
    <row r="1426" spans="1:4">
      <c r="A1426" s="28" t="s">
        <v>10</v>
      </c>
      <c r="B1426">
        <v>0.014446</v>
      </c>
      <c r="C1426">
        <v>0</v>
      </c>
      <c r="D1426">
        <v>0.014446</v>
      </c>
    </row>
    <row r="1427" spans="1:4">
      <c r="A1427" s="16" t="s">
        <v>767</v>
      </c>
      <c r="B1427">
        <v>533.510186</v>
      </c>
      <c r="C1427">
        <v>7.5</v>
      </c>
      <c r="D1427">
        <v>541.010186</v>
      </c>
    </row>
    <row r="1428" spans="1:4">
      <c r="A1428" s="28" t="s">
        <v>768</v>
      </c>
      <c r="B1428">
        <v>533.510186</v>
      </c>
      <c r="C1428">
        <v>7.5</v>
      </c>
      <c r="D1428">
        <v>541.010186</v>
      </c>
    </row>
    <row r="1429" spans="1:4">
      <c r="A1429" s="16" t="s">
        <v>769</v>
      </c>
      <c r="B1429">
        <v>0.1944</v>
      </c>
      <c r="C1429">
        <v>0</v>
      </c>
      <c r="D1429">
        <v>0.1944</v>
      </c>
    </row>
    <row r="1430" spans="1:4">
      <c r="A1430" s="28" t="s">
        <v>10</v>
      </c>
      <c r="B1430">
        <v>0.1944</v>
      </c>
      <c r="C1430">
        <v>0</v>
      </c>
      <c r="D1430">
        <v>0.1944</v>
      </c>
    </row>
    <row r="1431" spans="1:4">
      <c r="A1431" s="16" t="s">
        <v>770</v>
      </c>
      <c r="B1431">
        <v>0.1944</v>
      </c>
      <c r="C1431">
        <v>0</v>
      </c>
      <c r="D1431">
        <v>0.1944</v>
      </c>
    </row>
    <row r="1432" spans="1:4">
      <c r="A1432" s="28" t="s">
        <v>10</v>
      </c>
      <c r="B1432">
        <v>0.1944</v>
      </c>
      <c r="C1432">
        <v>0</v>
      </c>
      <c r="D1432">
        <v>0.1944</v>
      </c>
    </row>
    <row r="1433" spans="1:4">
      <c r="A1433" s="16" t="s">
        <v>771</v>
      </c>
      <c r="B1433">
        <v>0</v>
      </c>
      <c r="C1433">
        <v>0.1944</v>
      </c>
      <c r="D1433">
        <v>0.1944</v>
      </c>
    </row>
    <row r="1434" spans="1:4">
      <c r="A1434" s="28" t="s">
        <v>10</v>
      </c>
      <c r="B1434">
        <v>0</v>
      </c>
      <c r="C1434">
        <v>0.1944</v>
      </c>
      <c r="D1434">
        <v>0.1944</v>
      </c>
    </row>
    <row r="1435" spans="1:4">
      <c r="A1435" s="16" t="s">
        <v>772</v>
      </c>
      <c r="B1435">
        <v>2.913218</v>
      </c>
      <c r="C1435">
        <v>0.283755</v>
      </c>
      <c r="D1435">
        <v>3.196973</v>
      </c>
    </row>
    <row r="1436" spans="1:4">
      <c r="A1436" s="28" t="s">
        <v>10</v>
      </c>
      <c r="B1436">
        <v>2.913218</v>
      </c>
      <c r="C1436">
        <v>0.283755</v>
      </c>
      <c r="D1436">
        <v>3.196973</v>
      </c>
    </row>
    <row r="1437" spans="1:4">
      <c r="A1437" s="16" t="s">
        <v>773</v>
      </c>
      <c r="B1437">
        <v>28.9656</v>
      </c>
      <c r="C1437">
        <v>0</v>
      </c>
      <c r="D1437">
        <v>28.9656</v>
      </c>
    </row>
    <row r="1438" spans="1:4">
      <c r="A1438" s="28" t="s">
        <v>10</v>
      </c>
      <c r="B1438">
        <v>28.9656</v>
      </c>
      <c r="C1438">
        <v>0</v>
      </c>
      <c r="D1438">
        <v>28.9656</v>
      </c>
    </row>
    <row r="1439" spans="1:4">
      <c r="A1439" s="16" t="s">
        <v>774</v>
      </c>
      <c r="B1439">
        <v>0.18954</v>
      </c>
      <c r="C1439">
        <v>0.00486</v>
      </c>
      <c r="D1439">
        <v>0.1944</v>
      </c>
    </row>
    <row r="1440" spans="1:4">
      <c r="A1440" s="28" t="s">
        <v>10</v>
      </c>
      <c r="B1440">
        <v>0.18954</v>
      </c>
      <c r="C1440">
        <v>0.00486</v>
      </c>
      <c r="D1440">
        <v>0.1944</v>
      </c>
    </row>
    <row r="1441" spans="1:4">
      <c r="A1441" s="16" t="s">
        <v>775</v>
      </c>
      <c r="B1441">
        <v>3.58992</v>
      </c>
      <c r="C1441">
        <v>0</v>
      </c>
      <c r="D1441">
        <v>3.58992</v>
      </c>
    </row>
    <row r="1442" spans="1:4">
      <c r="A1442" s="28" t="s">
        <v>10</v>
      </c>
      <c r="B1442">
        <v>3.58992</v>
      </c>
      <c r="C1442">
        <v>0</v>
      </c>
      <c r="D1442">
        <v>3.58992</v>
      </c>
    </row>
    <row r="1443" spans="1:4">
      <c r="A1443" s="16" t="s">
        <v>776</v>
      </c>
      <c r="B1443">
        <v>0.1944</v>
      </c>
      <c r="C1443">
        <v>0</v>
      </c>
      <c r="D1443">
        <v>0.1944</v>
      </c>
    </row>
    <row r="1444" spans="1:4">
      <c r="A1444" s="28" t="s">
        <v>10</v>
      </c>
      <c r="B1444">
        <v>0.1944</v>
      </c>
      <c r="C1444">
        <v>0</v>
      </c>
      <c r="D1444">
        <v>0.1944</v>
      </c>
    </row>
    <row r="1445" spans="1:4">
      <c r="A1445" s="16" t="s">
        <v>777</v>
      </c>
      <c r="B1445">
        <v>6.46575</v>
      </c>
      <c r="C1445">
        <v>0</v>
      </c>
      <c r="D1445">
        <v>6.46575</v>
      </c>
    </row>
    <row r="1446" spans="1:4">
      <c r="A1446" s="28" t="s">
        <v>10</v>
      </c>
      <c r="B1446">
        <v>6.46575</v>
      </c>
      <c r="C1446">
        <v>0</v>
      </c>
      <c r="D1446">
        <v>6.46575</v>
      </c>
    </row>
    <row r="1447" spans="1:4">
      <c r="A1447" s="16" t="s">
        <v>778</v>
      </c>
      <c r="B1447">
        <v>0.5832</v>
      </c>
      <c r="C1447">
        <v>0</v>
      </c>
      <c r="D1447">
        <v>0.5832</v>
      </c>
    </row>
    <row r="1448" spans="1:4">
      <c r="A1448" s="28" t="s">
        <v>10</v>
      </c>
      <c r="B1448">
        <v>0.5832</v>
      </c>
      <c r="C1448">
        <v>0</v>
      </c>
      <c r="D1448">
        <v>0.5832</v>
      </c>
    </row>
    <row r="1449" spans="1:4">
      <c r="A1449" s="16" t="s">
        <v>779</v>
      </c>
      <c r="B1449">
        <v>19.42521</v>
      </c>
      <c r="C1449">
        <v>2.129154</v>
      </c>
      <c r="D1449">
        <v>21.554364</v>
      </c>
    </row>
    <row r="1450" spans="1:4">
      <c r="A1450" s="28" t="s">
        <v>10</v>
      </c>
      <c r="B1450">
        <v>19.42521</v>
      </c>
      <c r="C1450">
        <v>2.129154</v>
      </c>
      <c r="D1450">
        <v>21.554364</v>
      </c>
    </row>
    <row r="1451" spans="1:4">
      <c r="A1451" s="16" t="s">
        <v>780</v>
      </c>
      <c r="B1451">
        <v>1.08828</v>
      </c>
      <c r="C1451">
        <v>0.344925</v>
      </c>
      <c r="D1451">
        <v>1.433205</v>
      </c>
    </row>
    <row r="1452" spans="1:4">
      <c r="A1452" s="28" t="s">
        <v>10</v>
      </c>
      <c r="B1452">
        <v>1.08828</v>
      </c>
      <c r="C1452">
        <v>0.344925</v>
      </c>
      <c r="D1452">
        <v>1.433205</v>
      </c>
    </row>
    <row r="1453" spans="1:4">
      <c r="A1453" s="16" t="s">
        <v>781</v>
      </c>
      <c r="B1453">
        <v>0</v>
      </c>
      <c r="C1453">
        <v>330.194476</v>
      </c>
      <c r="D1453">
        <v>330.194476</v>
      </c>
    </row>
    <row r="1454" spans="1:4">
      <c r="A1454" s="28" t="s">
        <v>10</v>
      </c>
      <c r="B1454">
        <v>0</v>
      </c>
      <c r="C1454">
        <v>330.194476</v>
      </c>
      <c r="D1454">
        <v>330.194476</v>
      </c>
    </row>
    <row r="1455" spans="1:4">
      <c r="A1455" s="16" t="s">
        <v>782</v>
      </c>
      <c r="B1455">
        <v>0</v>
      </c>
      <c r="C1455">
        <v>1.42488</v>
      </c>
      <c r="D1455">
        <v>1.42488</v>
      </c>
    </row>
    <row r="1456" spans="1:4">
      <c r="A1456" s="28" t="s">
        <v>10</v>
      </c>
      <c r="B1456">
        <v>0</v>
      </c>
      <c r="C1456">
        <v>1.42488</v>
      </c>
      <c r="D1456">
        <v>1.42488</v>
      </c>
    </row>
    <row r="1457" spans="1:4">
      <c r="A1457" s="16" t="s">
        <v>783</v>
      </c>
      <c r="B1457">
        <v>10.066998</v>
      </c>
      <c r="C1457">
        <v>1.37268</v>
      </c>
      <c r="D1457">
        <v>11.439678</v>
      </c>
    </row>
    <row r="1458" spans="1:4">
      <c r="A1458" s="28" t="s">
        <v>10</v>
      </c>
      <c r="B1458">
        <v>10.066998</v>
      </c>
      <c r="C1458">
        <v>1.37268</v>
      </c>
      <c r="D1458">
        <v>11.439678</v>
      </c>
    </row>
    <row r="1459" spans="1:4">
      <c r="A1459" s="16" t="s">
        <v>784</v>
      </c>
      <c r="B1459">
        <v>0</v>
      </c>
      <c r="C1459">
        <v>0.1944</v>
      </c>
      <c r="D1459">
        <v>0.1944</v>
      </c>
    </row>
    <row r="1460" spans="1:4">
      <c r="A1460" s="28" t="s">
        <v>10</v>
      </c>
      <c r="B1460">
        <v>0</v>
      </c>
      <c r="C1460">
        <v>0.1944</v>
      </c>
      <c r="D1460">
        <v>0.1944</v>
      </c>
    </row>
    <row r="1461" spans="1:4">
      <c r="A1461" s="16" t="s">
        <v>785</v>
      </c>
      <c r="B1461">
        <v>31.460767</v>
      </c>
      <c r="C1461">
        <v>4.654105</v>
      </c>
      <c r="D1461">
        <v>36.114872</v>
      </c>
    </row>
    <row r="1462" spans="1:4">
      <c r="A1462" s="28" t="s">
        <v>10</v>
      </c>
      <c r="B1462">
        <v>31.460767</v>
      </c>
      <c r="C1462">
        <v>4.654105</v>
      </c>
      <c r="D1462">
        <v>36.114872</v>
      </c>
    </row>
    <row r="1463" spans="1:4">
      <c r="A1463" s="16" t="s">
        <v>786</v>
      </c>
      <c r="B1463">
        <v>0</v>
      </c>
      <c r="C1463">
        <v>1.1664</v>
      </c>
      <c r="D1463">
        <v>1.1664</v>
      </c>
    </row>
    <row r="1464" spans="1:4">
      <c r="A1464" s="28" t="s">
        <v>10</v>
      </c>
      <c r="B1464">
        <v>0</v>
      </c>
      <c r="C1464">
        <v>1.1664</v>
      </c>
      <c r="D1464">
        <v>1.1664</v>
      </c>
    </row>
    <row r="1465" spans="1:4">
      <c r="A1465" s="16" t="s">
        <v>787</v>
      </c>
      <c r="B1465">
        <v>0.29824</v>
      </c>
      <c r="C1465">
        <v>0</v>
      </c>
      <c r="D1465">
        <v>0.29824</v>
      </c>
    </row>
    <row r="1466" spans="1:4">
      <c r="A1466" s="28" t="s">
        <v>10</v>
      </c>
      <c r="B1466">
        <v>0.29824</v>
      </c>
      <c r="C1466">
        <v>0</v>
      </c>
      <c r="D1466">
        <v>0.29824</v>
      </c>
    </row>
    <row r="1467" spans="1:4">
      <c r="A1467" s="16" t="s">
        <v>788</v>
      </c>
      <c r="B1467">
        <v>78.913978</v>
      </c>
      <c r="C1467">
        <v>0</v>
      </c>
      <c r="D1467">
        <v>78.913978</v>
      </c>
    </row>
    <row r="1468" spans="1:4">
      <c r="A1468" s="28" t="s">
        <v>10</v>
      </c>
      <c r="B1468">
        <v>78.913978</v>
      </c>
      <c r="C1468">
        <v>0</v>
      </c>
      <c r="D1468">
        <v>78.913978</v>
      </c>
    </row>
    <row r="1469" spans="1:4">
      <c r="A1469" s="16" t="s">
        <v>789</v>
      </c>
      <c r="B1469">
        <v>96.004776</v>
      </c>
      <c r="C1469">
        <v>0.05895</v>
      </c>
      <c r="D1469">
        <v>96.063726</v>
      </c>
    </row>
    <row r="1470" spans="1:4">
      <c r="A1470" s="28" t="s">
        <v>10</v>
      </c>
      <c r="B1470">
        <v>96.004776</v>
      </c>
      <c r="C1470">
        <v>0.05895</v>
      </c>
      <c r="D1470">
        <v>96.063726</v>
      </c>
    </row>
    <row r="1471" spans="1:4">
      <c r="A1471" s="16" t="s">
        <v>790</v>
      </c>
      <c r="B1471">
        <v>0.105316</v>
      </c>
      <c r="C1471">
        <v>0</v>
      </c>
      <c r="D1471">
        <v>0.105316</v>
      </c>
    </row>
    <row r="1472" spans="1:4">
      <c r="A1472" s="28" t="s">
        <v>10</v>
      </c>
      <c r="B1472">
        <v>0.105316</v>
      </c>
      <c r="C1472">
        <v>0</v>
      </c>
      <c r="D1472">
        <v>0.105316</v>
      </c>
    </row>
    <row r="1473" spans="1:4">
      <c r="A1473" s="16" t="s">
        <v>791</v>
      </c>
      <c r="B1473">
        <v>0</v>
      </c>
      <c r="C1473">
        <v>0.139748</v>
      </c>
      <c r="D1473">
        <v>0.139748</v>
      </c>
    </row>
    <row r="1474" spans="1:4">
      <c r="A1474" s="28" t="s">
        <v>10</v>
      </c>
      <c r="B1474">
        <v>0</v>
      </c>
      <c r="C1474">
        <v>0.139748</v>
      </c>
      <c r="D1474">
        <v>0.139748</v>
      </c>
    </row>
    <row r="1475" spans="1:4">
      <c r="A1475" s="16" t="s">
        <v>792</v>
      </c>
      <c r="B1475">
        <v>0</v>
      </c>
      <c r="C1475">
        <v>4.57056</v>
      </c>
      <c r="D1475">
        <v>4.57056</v>
      </c>
    </row>
    <row r="1476" spans="1:4">
      <c r="A1476" s="28" t="s">
        <v>10</v>
      </c>
      <c r="B1476">
        <v>0</v>
      </c>
      <c r="C1476">
        <v>4.57056</v>
      </c>
      <c r="D1476">
        <v>4.57056</v>
      </c>
    </row>
    <row r="1477" spans="1:4">
      <c r="A1477" s="16" t="s">
        <v>793</v>
      </c>
      <c r="B1477">
        <v>0.1944</v>
      </c>
      <c r="C1477">
        <v>0</v>
      </c>
      <c r="D1477">
        <v>0.1944</v>
      </c>
    </row>
    <row r="1478" spans="1:4">
      <c r="A1478" s="28" t="s">
        <v>10</v>
      </c>
      <c r="B1478">
        <v>0.1944</v>
      </c>
      <c r="C1478">
        <v>0</v>
      </c>
      <c r="D1478">
        <v>0.1944</v>
      </c>
    </row>
    <row r="1479" spans="1:4">
      <c r="A1479" s="16" t="s">
        <v>794</v>
      </c>
      <c r="B1479">
        <v>4.309102</v>
      </c>
      <c r="C1479">
        <v>0</v>
      </c>
      <c r="D1479">
        <v>4.309102</v>
      </c>
    </row>
    <row r="1480" spans="1:4">
      <c r="A1480" s="28" t="s">
        <v>10</v>
      </c>
      <c r="B1480">
        <v>4.309102</v>
      </c>
      <c r="C1480">
        <v>0</v>
      </c>
      <c r="D1480">
        <v>4.309102</v>
      </c>
    </row>
    <row r="1481" spans="1:4">
      <c r="A1481" s="16" t="s">
        <v>795</v>
      </c>
      <c r="B1481">
        <v>0.1944</v>
      </c>
      <c r="C1481">
        <v>0</v>
      </c>
      <c r="D1481">
        <v>0.1944</v>
      </c>
    </row>
    <row r="1482" spans="1:4">
      <c r="A1482" s="28" t="s">
        <v>10</v>
      </c>
      <c r="B1482">
        <v>0.1944</v>
      </c>
      <c r="C1482">
        <v>0</v>
      </c>
      <c r="D1482">
        <v>0.1944</v>
      </c>
    </row>
    <row r="1483" spans="1:4">
      <c r="A1483" s="16" t="s">
        <v>796</v>
      </c>
      <c r="B1483">
        <v>0</v>
      </c>
      <c r="C1483">
        <v>3.48408</v>
      </c>
      <c r="D1483">
        <v>3.48408</v>
      </c>
    </row>
    <row r="1484" spans="1:4">
      <c r="A1484" s="28" t="s">
        <v>10</v>
      </c>
      <c r="B1484">
        <v>0</v>
      </c>
      <c r="C1484">
        <v>3.48408</v>
      </c>
      <c r="D1484">
        <v>3.48408</v>
      </c>
    </row>
    <row r="1485" spans="1:4">
      <c r="A1485" s="16" t="s">
        <v>797</v>
      </c>
      <c r="B1485">
        <v>0.189045</v>
      </c>
      <c r="C1485">
        <v>0.005355</v>
      </c>
      <c r="D1485">
        <v>0.1944</v>
      </c>
    </row>
    <row r="1486" spans="1:4">
      <c r="A1486" s="28" t="s">
        <v>10</v>
      </c>
      <c r="B1486">
        <v>0.189045</v>
      </c>
      <c r="C1486">
        <v>0.005355</v>
      </c>
      <c r="D1486">
        <v>0.1944</v>
      </c>
    </row>
    <row r="1487" spans="1:4">
      <c r="A1487" s="16" t="s">
        <v>798</v>
      </c>
      <c r="B1487">
        <v>1.330875</v>
      </c>
      <c r="C1487">
        <v>0.029925</v>
      </c>
      <c r="D1487">
        <v>1.3608</v>
      </c>
    </row>
    <row r="1488" spans="1:4">
      <c r="A1488" s="28" t="s">
        <v>10</v>
      </c>
      <c r="B1488">
        <v>1.330875</v>
      </c>
      <c r="C1488">
        <v>0.029925</v>
      </c>
      <c r="D1488">
        <v>1.3608</v>
      </c>
    </row>
    <row r="1489" spans="1:4">
      <c r="A1489" s="16" t="s">
        <v>799</v>
      </c>
      <c r="B1489">
        <v>0.15145</v>
      </c>
      <c r="C1489">
        <v>0</v>
      </c>
      <c r="D1489">
        <v>0.15145</v>
      </c>
    </row>
    <row r="1490" spans="1:4">
      <c r="A1490" s="28" t="s">
        <v>10</v>
      </c>
      <c r="B1490">
        <v>0.15145</v>
      </c>
      <c r="C1490">
        <v>0</v>
      </c>
      <c r="D1490">
        <v>0.15145</v>
      </c>
    </row>
    <row r="1491" spans="1:4">
      <c r="A1491" s="16" t="s">
        <v>800</v>
      </c>
      <c r="B1491">
        <v>0.57753</v>
      </c>
      <c r="C1491">
        <v>0.00567</v>
      </c>
      <c r="D1491">
        <v>0.5832</v>
      </c>
    </row>
    <row r="1492" spans="1:4">
      <c r="A1492" s="28" t="s">
        <v>10</v>
      </c>
      <c r="B1492">
        <v>0.57753</v>
      </c>
      <c r="C1492">
        <v>0.00567</v>
      </c>
      <c r="D1492">
        <v>0.5832</v>
      </c>
    </row>
    <row r="1493" spans="1:4">
      <c r="A1493" s="16" t="s">
        <v>801</v>
      </c>
      <c r="B1493">
        <v>56.915856</v>
      </c>
      <c r="C1493">
        <v>0</v>
      </c>
      <c r="D1493">
        <v>56.915856</v>
      </c>
    </row>
    <row r="1494" spans="1:4">
      <c r="A1494" s="28" t="s">
        <v>10</v>
      </c>
      <c r="B1494">
        <v>56.915856</v>
      </c>
      <c r="C1494">
        <v>0</v>
      </c>
      <c r="D1494">
        <v>56.915856</v>
      </c>
    </row>
    <row r="1495" spans="1:4">
      <c r="A1495" s="16" t="s">
        <v>802</v>
      </c>
      <c r="B1495">
        <v>344.057808</v>
      </c>
      <c r="C1495">
        <v>12.244532</v>
      </c>
      <c r="D1495">
        <v>356.30234</v>
      </c>
    </row>
    <row r="1496" spans="1:4">
      <c r="A1496" s="28" t="s">
        <v>10</v>
      </c>
      <c r="B1496">
        <v>344.057808</v>
      </c>
      <c r="C1496">
        <v>12.244532</v>
      </c>
      <c r="D1496">
        <v>356.30234</v>
      </c>
    </row>
    <row r="1497" spans="1:4">
      <c r="A1497" s="16" t="s">
        <v>803</v>
      </c>
      <c r="B1497">
        <v>3.077145</v>
      </c>
      <c r="C1497">
        <v>4.186935</v>
      </c>
      <c r="D1497">
        <v>7.26408</v>
      </c>
    </row>
    <row r="1498" spans="1:4">
      <c r="A1498" s="28" t="s">
        <v>804</v>
      </c>
      <c r="B1498">
        <v>3.077145</v>
      </c>
      <c r="C1498">
        <v>4.186935</v>
      </c>
      <c r="D1498">
        <v>7.26408</v>
      </c>
    </row>
    <row r="1499" spans="1:4">
      <c r="A1499" s="16" t="s">
        <v>805</v>
      </c>
      <c r="B1499">
        <v>0.1944</v>
      </c>
      <c r="C1499">
        <v>0</v>
      </c>
      <c r="D1499">
        <v>0.1944</v>
      </c>
    </row>
    <row r="1500" spans="1:4">
      <c r="A1500" s="28" t="s">
        <v>10</v>
      </c>
      <c r="B1500">
        <v>0.1944</v>
      </c>
      <c r="C1500">
        <v>0</v>
      </c>
      <c r="D1500">
        <v>0.1944</v>
      </c>
    </row>
    <row r="1501" spans="1:4">
      <c r="A1501" s="16" t="s">
        <v>806</v>
      </c>
      <c r="B1501">
        <v>0.1944</v>
      </c>
      <c r="C1501">
        <v>0</v>
      </c>
      <c r="D1501">
        <v>0.1944</v>
      </c>
    </row>
    <row r="1502" spans="1:4">
      <c r="A1502" s="28" t="s">
        <v>10</v>
      </c>
      <c r="B1502">
        <v>0.1944</v>
      </c>
      <c r="C1502">
        <v>0</v>
      </c>
      <c r="D1502">
        <v>0.1944</v>
      </c>
    </row>
    <row r="1503" spans="1:4">
      <c r="A1503" s="16" t="s">
        <v>807</v>
      </c>
      <c r="B1503">
        <v>10.147533</v>
      </c>
      <c r="C1503">
        <v>0</v>
      </c>
      <c r="D1503">
        <v>10.147533</v>
      </c>
    </row>
    <row r="1504" spans="1:4">
      <c r="A1504" s="28" t="s">
        <v>10</v>
      </c>
      <c r="B1504">
        <v>10.147533</v>
      </c>
      <c r="C1504">
        <v>0</v>
      </c>
      <c r="D1504">
        <v>10.147533</v>
      </c>
    </row>
    <row r="1505" spans="1:4">
      <c r="A1505" s="16" t="s">
        <v>808</v>
      </c>
      <c r="B1505">
        <v>243.661184</v>
      </c>
      <c r="C1505">
        <v>15.20043</v>
      </c>
      <c r="D1505">
        <v>258.861614</v>
      </c>
    </row>
    <row r="1506" spans="1:4">
      <c r="A1506" s="28" t="s">
        <v>10</v>
      </c>
      <c r="B1506">
        <v>243.661184</v>
      </c>
      <c r="C1506">
        <v>15.20043</v>
      </c>
      <c r="D1506">
        <v>258.861614</v>
      </c>
    </row>
    <row r="1507" spans="1:4">
      <c r="A1507" s="16" t="s">
        <v>809</v>
      </c>
      <c r="B1507">
        <v>1.02735</v>
      </c>
      <c r="C1507">
        <v>0</v>
      </c>
      <c r="D1507">
        <v>1.02735</v>
      </c>
    </row>
    <row r="1508" spans="1:4">
      <c r="A1508" s="28" t="s">
        <v>10</v>
      </c>
      <c r="B1508">
        <v>1.02735</v>
      </c>
      <c r="C1508">
        <v>0</v>
      </c>
      <c r="D1508">
        <v>1.02735</v>
      </c>
    </row>
    <row r="1509" spans="1:4">
      <c r="A1509" s="16" t="s">
        <v>810</v>
      </c>
      <c r="B1509">
        <v>1394.293178</v>
      </c>
      <c r="C1509">
        <v>59.353435</v>
      </c>
      <c r="D1509">
        <v>1453.646613</v>
      </c>
    </row>
    <row r="1510" spans="1:4">
      <c r="A1510" s="28" t="s">
        <v>811</v>
      </c>
      <c r="B1510">
        <v>1394.293178</v>
      </c>
      <c r="C1510">
        <v>59.353435</v>
      </c>
      <c r="D1510">
        <v>1453.646613</v>
      </c>
    </row>
    <row r="1511" spans="1:4">
      <c r="A1511" s="16" t="s">
        <v>812</v>
      </c>
      <c r="B1511">
        <v>21.433432</v>
      </c>
      <c r="C1511">
        <v>0</v>
      </c>
      <c r="D1511">
        <v>21.433432</v>
      </c>
    </row>
    <row r="1512" spans="1:4">
      <c r="A1512" s="28" t="s">
        <v>10</v>
      </c>
      <c r="B1512">
        <v>21.433432</v>
      </c>
      <c r="C1512">
        <v>0</v>
      </c>
      <c r="D1512">
        <v>21.433432</v>
      </c>
    </row>
    <row r="1513" spans="1:4">
      <c r="A1513" s="16" t="s">
        <v>813</v>
      </c>
      <c r="B1513">
        <v>0.765576</v>
      </c>
      <c r="C1513">
        <v>0</v>
      </c>
      <c r="D1513">
        <v>0.765576</v>
      </c>
    </row>
    <row r="1514" spans="1:4">
      <c r="A1514" s="28" t="s">
        <v>10</v>
      </c>
      <c r="B1514">
        <v>0.765576</v>
      </c>
      <c r="C1514">
        <v>0</v>
      </c>
      <c r="D1514">
        <v>0.765576</v>
      </c>
    </row>
    <row r="1515" spans="1:4">
      <c r="A1515" s="16" t="s">
        <v>814</v>
      </c>
      <c r="B1515">
        <v>0</v>
      </c>
      <c r="C1515">
        <v>8.700344</v>
      </c>
      <c r="D1515">
        <v>8.700344</v>
      </c>
    </row>
    <row r="1516" spans="1:4">
      <c r="A1516" s="28" t="s">
        <v>10</v>
      </c>
      <c r="B1516">
        <v>0</v>
      </c>
      <c r="C1516">
        <v>8.700344</v>
      </c>
      <c r="D1516">
        <v>8.700344</v>
      </c>
    </row>
    <row r="1517" spans="1:4">
      <c r="A1517" s="16" t="s">
        <v>815</v>
      </c>
      <c r="B1517">
        <v>1.83448</v>
      </c>
      <c r="C1517">
        <v>0</v>
      </c>
      <c r="D1517">
        <v>1.83448</v>
      </c>
    </row>
    <row r="1518" spans="1:4">
      <c r="A1518" s="28" t="s">
        <v>10</v>
      </c>
      <c r="B1518">
        <v>1.83448</v>
      </c>
      <c r="C1518">
        <v>0</v>
      </c>
      <c r="D1518">
        <v>1.83448</v>
      </c>
    </row>
    <row r="1519" spans="1:4">
      <c r="A1519" s="16" t="s">
        <v>816</v>
      </c>
      <c r="B1519">
        <v>101.980838</v>
      </c>
      <c r="C1519">
        <v>0</v>
      </c>
      <c r="D1519">
        <v>101.980838</v>
      </c>
    </row>
    <row r="1520" spans="1:4">
      <c r="A1520" s="28" t="s">
        <v>10</v>
      </c>
      <c r="B1520">
        <v>101.980838</v>
      </c>
      <c r="C1520">
        <v>0</v>
      </c>
      <c r="D1520">
        <v>101.980838</v>
      </c>
    </row>
    <row r="1521" spans="1:4">
      <c r="A1521" s="16" t="s">
        <v>817</v>
      </c>
      <c r="B1521">
        <v>0.548482</v>
      </c>
      <c r="C1521">
        <v>5.25024</v>
      </c>
      <c r="D1521">
        <v>5.798722</v>
      </c>
    </row>
    <row r="1522" spans="1:4">
      <c r="A1522" s="28" t="s">
        <v>10</v>
      </c>
      <c r="B1522">
        <v>0.548482</v>
      </c>
      <c r="C1522">
        <v>5.25024</v>
      </c>
      <c r="D1522">
        <v>5.798722</v>
      </c>
    </row>
    <row r="1523" spans="1:4">
      <c r="A1523" s="16" t="s">
        <v>818</v>
      </c>
      <c r="B1523">
        <v>6.649376</v>
      </c>
      <c r="C1523">
        <v>0</v>
      </c>
      <c r="D1523">
        <v>6.649376</v>
      </c>
    </row>
    <row r="1524" spans="1:4">
      <c r="A1524" s="28" t="s">
        <v>10</v>
      </c>
      <c r="B1524">
        <v>6.649376</v>
      </c>
      <c r="C1524">
        <v>0</v>
      </c>
      <c r="D1524">
        <v>6.649376</v>
      </c>
    </row>
    <row r="1525" spans="1:4">
      <c r="A1525" s="16" t="s">
        <v>6</v>
      </c>
      <c r="B1525">
        <v>110340.459592</v>
      </c>
      <c r="C1525">
        <v>7.5</v>
      </c>
      <c r="D1525">
        <v>110347.959592</v>
      </c>
    </row>
    <row r="1526" spans="1:4">
      <c r="A1526" s="28" t="s">
        <v>5</v>
      </c>
      <c r="B1526">
        <v>110340.459592</v>
      </c>
      <c r="C1526">
        <v>7.5</v>
      </c>
      <c r="D1526">
        <v>110347.959592</v>
      </c>
    </row>
    <row r="1527" spans="1:4">
      <c r="A1527" s="16" t="s">
        <v>7</v>
      </c>
      <c r="B1527">
        <v>380926.671509</v>
      </c>
      <c r="C1527">
        <v>50774.389135</v>
      </c>
      <c r="D1527">
        <v>431701.060643999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D766"/>
  <sheetViews>
    <sheetView workbookViewId="0">
      <selection activeCell="I3" sqref="I3"/>
    </sheetView>
  </sheetViews>
  <sheetFormatPr defaultColWidth="8.72727272727273" defaultRowHeight="14" outlineLevelCol="3"/>
  <cols>
    <col min="1" max="1" width="9.90909090909091"/>
    <col min="2" max="4" width="17.3636363636364"/>
  </cols>
  <sheetData>
    <row r="3" spans="1:4">
      <c r="A3" t="s">
        <v>1</v>
      </c>
      <c r="B3" t="s">
        <v>4</v>
      </c>
      <c r="C3" t="s">
        <v>2</v>
      </c>
      <c r="D3" t="s">
        <v>3</v>
      </c>
    </row>
    <row r="4" spans="1:4">
      <c r="A4" t="s">
        <v>9</v>
      </c>
      <c r="B4">
        <v>0.24984</v>
      </c>
      <c r="C4">
        <v>0</v>
      </c>
      <c r="D4">
        <v>0.24984</v>
      </c>
    </row>
    <row r="5" spans="1:4">
      <c r="A5" t="s">
        <v>11</v>
      </c>
      <c r="B5">
        <v>3.888</v>
      </c>
      <c r="C5">
        <v>0.657</v>
      </c>
      <c r="D5">
        <v>3.231</v>
      </c>
    </row>
    <row r="6" spans="1:4">
      <c r="A6" t="s">
        <v>12</v>
      </c>
      <c r="B6">
        <v>9.434404</v>
      </c>
      <c r="C6">
        <v>7.5</v>
      </c>
      <c r="D6">
        <v>1.934404</v>
      </c>
    </row>
    <row r="7" spans="1:4">
      <c r="A7" t="s">
        <v>13</v>
      </c>
      <c r="B7">
        <v>1360.45632</v>
      </c>
      <c r="C7">
        <v>14.64688</v>
      </c>
      <c r="D7">
        <v>1345.80944</v>
      </c>
    </row>
    <row r="8" spans="1:4">
      <c r="A8" t="s">
        <v>15</v>
      </c>
      <c r="B8">
        <v>14.617582</v>
      </c>
      <c r="C8">
        <v>10.02888</v>
      </c>
      <c r="D8">
        <v>4.588702</v>
      </c>
    </row>
    <row r="9" spans="1:4">
      <c r="A9" t="s">
        <v>16</v>
      </c>
      <c r="B9">
        <v>2.481024</v>
      </c>
      <c r="C9">
        <v>0</v>
      </c>
      <c r="D9">
        <v>2.481024</v>
      </c>
    </row>
    <row r="10" spans="1:4">
      <c r="A10" t="s">
        <v>17</v>
      </c>
      <c r="B10">
        <v>160.59622</v>
      </c>
      <c r="C10">
        <v>7.5</v>
      </c>
      <c r="D10">
        <v>153.09622</v>
      </c>
    </row>
    <row r="11" spans="1:4">
      <c r="A11" t="s">
        <v>18</v>
      </c>
      <c r="B11">
        <v>0.005126</v>
      </c>
      <c r="C11">
        <v>0</v>
      </c>
      <c r="D11">
        <v>0.005126</v>
      </c>
    </row>
    <row r="12" spans="1:4">
      <c r="A12" t="s">
        <v>19</v>
      </c>
      <c r="B12">
        <v>11.81448</v>
      </c>
      <c r="C12">
        <v>4.978884</v>
      </c>
      <c r="D12">
        <v>6.835596</v>
      </c>
    </row>
    <row r="13" spans="1:4">
      <c r="A13" t="s">
        <v>21</v>
      </c>
      <c r="B13">
        <v>3.221548</v>
      </c>
      <c r="C13">
        <v>0</v>
      </c>
      <c r="D13">
        <v>3.221548</v>
      </c>
    </row>
    <row r="14" spans="1:4">
      <c r="A14" t="s">
        <v>22</v>
      </c>
      <c r="B14">
        <v>0.1944</v>
      </c>
      <c r="C14">
        <v>0.10134</v>
      </c>
      <c r="D14">
        <v>0.09306</v>
      </c>
    </row>
    <row r="15" spans="1:4">
      <c r="A15" t="s">
        <v>23</v>
      </c>
      <c r="B15">
        <v>0.14688</v>
      </c>
      <c r="C15">
        <v>0.004556</v>
      </c>
      <c r="D15">
        <v>0.142324</v>
      </c>
    </row>
    <row r="16" spans="1:4">
      <c r="A16" t="s">
        <v>24</v>
      </c>
      <c r="B16">
        <v>88.488959</v>
      </c>
      <c r="C16">
        <v>14.5</v>
      </c>
      <c r="D16">
        <v>73.988959</v>
      </c>
    </row>
    <row r="17" spans="1:4">
      <c r="A17" t="s">
        <v>25</v>
      </c>
      <c r="B17">
        <v>0.334008</v>
      </c>
      <c r="C17">
        <v>0.138825</v>
      </c>
      <c r="D17">
        <v>0.195183</v>
      </c>
    </row>
    <row r="18" spans="1:4">
      <c r="A18" t="s">
        <v>26</v>
      </c>
      <c r="B18">
        <v>6.48618</v>
      </c>
      <c r="C18">
        <v>6.48618</v>
      </c>
      <c r="D18">
        <v>0</v>
      </c>
    </row>
    <row r="19" spans="1:4">
      <c r="A19" t="s">
        <v>27</v>
      </c>
      <c r="B19">
        <v>2.7216</v>
      </c>
      <c r="C19">
        <v>0</v>
      </c>
      <c r="D19">
        <v>2.7216</v>
      </c>
    </row>
    <row r="20" spans="1:4">
      <c r="A20" t="s">
        <v>28</v>
      </c>
      <c r="B20">
        <v>0.092268</v>
      </c>
      <c r="C20">
        <v>0</v>
      </c>
      <c r="D20">
        <v>0.092268</v>
      </c>
    </row>
    <row r="21" spans="1:4">
      <c r="A21" t="s">
        <v>29</v>
      </c>
      <c r="B21">
        <v>0.403594</v>
      </c>
      <c r="C21">
        <v>0.1944</v>
      </c>
      <c r="D21">
        <v>0.209194</v>
      </c>
    </row>
    <row r="22" spans="1:4">
      <c r="A22" t="s">
        <v>30</v>
      </c>
      <c r="B22">
        <v>3.58848</v>
      </c>
      <c r="C22">
        <v>3.58848</v>
      </c>
      <c r="D22">
        <v>0</v>
      </c>
    </row>
    <row r="23" spans="1:4">
      <c r="A23" t="s">
        <v>31</v>
      </c>
      <c r="B23">
        <v>3.77208</v>
      </c>
      <c r="C23">
        <v>0</v>
      </c>
      <c r="D23">
        <v>3.77208</v>
      </c>
    </row>
    <row r="24" spans="1:4">
      <c r="A24" t="s">
        <v>32</v>
      </c>
      <c r="B24">
        <v>21.55125</v>
      </c>
      <c r="C24">
        <v>3.019186</v>
      </c>
      <c r="D24">
        <v>18.532064</v>
      </c>
    </row>
    <row r="25" spans="1:4">
      <c r="A25" t="s">
        <v>34</v>
      </c>
      <c r="B25">
        <v>0.328064</v>
      </c>
      <c r="C25">
        <v>0</v>
      </c>
      <c r="D25">
        <v>0.328064</v>
      </c>
    </row>
    <row r="26" spans="1:4">
      <c r="A26" t="s">
        <v>35</v>
      </c>
      <c r="B26">
        <v>30.31344</v>
      </c>
      <c r="C26">
        <v>1.568214</v>
      </c>
      <c r="D26">
        <v>28.745226</v>
      </c>
    </row>
    <row r="27" spans="1:4">
      <c r="A27" t="s">
        <v>36</v>
      </c>
      <c r="B27">
        <v>16.99852</v>
      </c>
      <c r="C27">
        <v>0</v>
      </c>
      <c r="D27">
        <v>16.99852</v>
      </c>
    </row>
    <row r="28" spans="1:4">
      <c r="A28" t="s">
        <v>37</v>
      </c>
      <c r="B28">
        <v>45.392496</v>
      </c>
      <c r="C28">
        <v>4.075072</v>
      </c>
      <c r="D28">
        <v>41.317424</v>
      </c>
    </row>
    <row r="29" spans="1:4">
      <c r="A29" t="s">
        <v>38</v>
      </c>
      <c r="B29">
        <v>3.591349</v>
      </c>
      <c r="C29">
        <v>2.923023</v>
      </c>
      <c r="D29">
        <v>0.668326</v>
      </c>
    </row>
    <row r="30" spans="1:4">
      <c r="A30" t="s">
        <v>39</v>
      </c>
      <c r="B30">
        <v>0.24984</v>
      </c>
      <c r="C30">
        <v>0</v>
      </c>
      <c r="D30">
        <v>0.24984</v>
      </c>
    </row>
    <row r="31" spans="1:4">
      <c r="A31" t="s">
        <v>40</v>
      </c>
      <c r="B31">
        <v>3.79008</v>
      </c>
      <c r="C31">
        <v>0</v>
      </c>
      <c r="D31">
        <v>3.79008</v>
      </c>
    </row>
    <row r="32" spans="1:4">
      <c r="A32" t="s">
        <v>41</v>
      </c>
      <c r="B32">
        <v>0.564102</v>
      </c>
      <c r="C32">
        <v>0</v>
      </c>
      <c r="D32">
        <v>0.564102</v>
      </c>
    </row>
    <row r="33" spans="1:4">
      <c r="A33" t="s">
        <v>42</v>
      </c>
      <c r="B33">
        <v>0.1944</v>
      </c>
      <c r="C33">
        <v>0</v>
      </c>
      <c r="D33">
        <v>0.1944</v>
      </c>
    </row>
    <row r="34" spans="1:4">
      <c r="A34" t="s">
        <v>43</v>
      </c>
      <c r="B34">
        <v>2.1384</v>
      </c>
      <c r="C34">
        <v>1.681695</v>
      </c>
      <c r="D34">
        <v>0.456705</v>
      </c>
    </row>
    <row r="35" spans="1:4">
      <c r="A35" t="s">
        <v>45</v>
      </c>
      <c r="B35">
        <v>0.1944</v>
      </c>
      <c r="C35">
        <v>0.1944</v>
      </c>
      <c r="D35">
        <v>0</v>
      </c>
    </row>
    <row r="36" spans="1:4">
      <c r="A36" t="s">
        <v>47</v>
      </c>
      <c r="B36">
        <v>8.3772</v>
      </c>
      <c r="C36">
        <v>8.3772</v>
      </c>
      <c r="D36">
        <v>0</v>
      </c>
    </row>
    <row r="37" spans="1:4">
      <c r="A37" t="s">
        <v>48</v>
      </c>
      <c r="B37">
        <v>83.21943</v>
      </c>
      <c r="C37">
        <v>16.5</v>
      </c>
      <c r="D37">
        <v>66.71943</v>
      </c>
    </row>
    <row r="38" spans="1:4">
      <c r="A38" t="s">
        <v>49</v>
      </c>
      <c r="B38">
        <v>0.1944</v>
      </c>
      <c r="C38">
        <v>0.1944</v>
      </c>
      <c r="D38">
        <v>0</v>
      </c>
    </row>
    <row r="39" spans="1:4">
      <c r="A39" t="s">
        <v>50</v>
      </c>
      <c r="B39">
        <v>4.069986</v>
      </c>
      <c r="C39">
        <v>0.138861</v>
      </c>
      <c r="D39">
        <v>3.931125</v>
      </c>
    </row>
    <row r="40" spans="1:4">
      <c r="A40" t="s">
        <v>51</v>
      </c>
      <c r="B40">
        <v>0.5832</v>
      </c>
      <c r="C40">
        <v>0</v>
      </c>
      <c r="D40">
        <v>0.5832</v>
      </c>
    </row>
    <row r="41" spans="1:4">
      <c r="A41" t="s">
        <v>52</v>
      </c>
      <c r="B41">
        <v>63.739946</v>
      </c>
      <c r="C41">
        <v>0</v>
      </c>
      <c r="D41">
        <v>63.739946</v>
      </c>
    </row>
    <row r="42" spans="1:4">
      <c r="A42" t="s">
        <v>53</v>
      </c>
      <c r="B42">
        <v>0.14688</v>
      </c>
      <c r="C42">
        <v>0</v>
      </c>
      <c r="D42">
        <v>0.14688</v>
      </c>
    </row>
    <row r="43" spans="1:4">
      <c r="A43" t="s">
        <v>54</v>
      </c>
      <c r="B43">
        <v>10.76616</v>
      </c>
      <c r="C43">
        <v>6.463756</v>
      </c>
      <c r="D43">
        <v>4.302404</v>
      </c>
    </row>
    <row r="44" spans="1:4">
      <c r="A44" t="s">
        <v>55</v>
      </c>
      <c r="B44">
        <v>8.27154</v>
      </c>
      <c r="C44">
        <v>8.27154</v>
      </c>
      <c r="D44">
        <v>0</v>
      </c>
    </row>
    <row r="45" spans="1:4">
      <c r="A45" t="s">
        <v>57</v>
      </c>
      <c r="B45">
        <v>31.898092</v>
      </c>
      <c r="C45">
        <v>7.5</v>
      </c>
      <c r="D45">
        <v>24.398092</v>
      </c>
    </row>
    <row r="46" spans="1:4">
      <c r="A46" t="s">
        <v>58</v>
      </c>
      <c r="B46">
        <v>8.92008</v>
      </c>
      <c r="C46">
        <v>8.610156</v>
      </c>
      <c r="D46">
        <v>0.309924</v>
      </c>
    </row>
    <row r="47" spans="1:4">
      <c r="A47" t="s">
        <v>59</v>
      </c>
      <c r="B47">
        <v>3.16584</v>
      </c>
      <c r="C47">
        <v>0.051086</v>
      </c>
      <c r="D47">
        <v>3.114754</v>
      </c>
    </row>
    <row r="48" spans="1:4">
      <c r="A48" t="s">
        <v>60</v>
      </c>
      <c r="B48">
        <v>69.116128</v>
      </c>
      <c r="C48">
        <v>7.5</v>
      </c>
      <c r="D48">
        <v>61.616128</v>
      </c>
    </row>
    <row r="49" spans="1:4">
      <c r="A49" t="s">
        <v>61</v>
      </c>
      <c r="B49">
        <v>105.73704</v>
      </c>
      <c r="C49">
        <v>105.73704</v>
      </c>
      <c r="D49">
        <v>0</v>
      </c>
    </row>
    <row r="50" spans="1:4">
      <c r="A50" t="s">
        <v>62</v>
      </c>
      <c r="B50">
        <v>0.1944</v>
      </c>
      <c r="C50">
        <v>0.00558</v>
      </c>
      <c r="D50">
        <v>0.18882</v>
      </c>
    </row>
    <row r="51" spans="1:4">
      <c r="A51" t="s">
        <v>63</v>
      </c>
      <c r="B51">
        <v>4.78152</v>
      </c>
      <c r="C51">
        <v>0.106256</v>
      </c>
      <c r="D51">
        <v>4.675264</v>
      </c>
    </row>
    <row r="52" spans="1:4">
      <c r="A52" t="s">
        <v>64</v>
      </c>
      <c r="B52">
        <v>0.1944</v>
      </c>
      <c r="C52">
        <v>0.00072</v>
      </c>
      <c r="D52">
        <v>0.19368</v>
      </c>
    </row>
    <row r="53" spans="1:4">
      <c r="A53" t="s">
        <v>65</v>
      </c>
      <c r="B53">
        <v>1.30608</v>
      </c>
      <c r="C53">
        <v>0</v>
      </c>
      <c r="D53">
        <v>1.30608</v>
      </c>
    </row>
    <row r="54" spans="1:4">
      <c r="A54" t="s">
        <v>66</v>
      </c>
      <c r="B54">
        <v>0.1944</v>
      </c>
      <c r="C54">
        <v>0.1944</v>
      </c>
      <c r="D54">
        <v>0</v>
      </c>
    </row>
    <row r="55" spans="1:4">
      <c r="A55" t="s">
        <v>67</v>
      </c>
      <c r="B55">
        <v>18.802523</v>
      </c>
      <c r="C55">
        <v>3.86712</v>
      </c>
      <c r="D55">
        <v>14.935403</v>
      </c>
    </row>
    <row r="56" spans="1:4">
      <c r="A56" t="s">
        <v>69</v>
      </c>
      <c r="B56">
        <v>0.55263</v>
      </c>
      <c r="C56">
        <v>0.00218</v>
      </c>
      <c r="D56">
        <v>0.55045</v>
      </c>
    </row>
    <row r="57" spans="1:4">
      <c r="A57" t="s">
        <v>70</v>
      </c>
      <c r="B57">
        <v>0.95616</v>
      </c>
      <c r="C57">
        <v>0</v>
      </c>
      <c r="D57">
        <v>0.95616</v>
      </c>
    </row>
    <row r="58" spans="1:4">
      <c r="A58" t="s">
        <v>71</v>
      </c>
      <c r="B58">
        <v>4.85712</v>
      </c>
      <c r="C58">
        <v>0</v>
      </c>
      <c r="D58">
        <v>4.85712</v>
      </c>
    </row>
    <row r="59" spans="1:4">
      <c r="A59" t="s">
        <v>72</v>
      </c>
      <c r="B59">
        <v>40.038145</v>
      </c>
      <c r="C59">
        <v>0</v>
      </c>
      <c r="D59">
        <v>40.038145</v>
      </c>
    </row>
    <row r="60" spans="1:4">
      <c r="A60" t="s">
        <v>73</v>
      </c>
      <c r="B60">
        <v>4.85928</v>
      </c>
      <c r="C60">
        <v>0</v>
      </c>
      <c r="D60">
        <v>4.85928</v>
      </c>
    </row>
    <row r="61" spans="1:4">
      <c r="A61" t="s">
        <v>74</v>
      </c>
      <c r="B61">
        <v>13.13856</v>
      </c>
      <c r="C61">
        <v>7.810216</v>
      </c>
      <c r="D61">
        <v>5.328344</v>
      </c>
    </row>
    <row r="62" spans="1:4">
      <c r="A62" t="s">
        <v>75</v>
      </c>
      <c r="B62">
        <v>7.473528</v>
      </c>
      <c r="C62">
        <v>0</v>
      </c>
      <c r="D62">
        <v>7.473528</v>
      </c>
    </row>
    <row r="63" spans="1:4">
      <c r="A63" t="s">
        <v>76</v>
      </c>
      <c r="B63">
        <v>12.601485</v>
      </c>
      <c r="C63">
        <v>7.5</v>
      </c>
      <c r="D63">
        <v>5.101485</v>
      </c>
    </row>
    <row r="64" spans="1:4">
      <c r="A64" t="s">
        <v>77</v>
      </c>
      <c r="B64">
        <v>7.87104</v>
      </c>
      <c r="C64">
        <v>0</v>
      </c>
      <c r="D64">
        <v>7.87104</v>
      </c>
    </row>
    <row r="65" spans="1:4">
      <c r="A65" t="s">
        <v>78</v>
      </c>
      <c r="B65">
        <v>3.608187</v>
      </c>
      <c r="C65">
        <v>0.069616</v>
      </c>
      <c r="D65">
        <v>3.538571</v>
      </c>
    </row>
    <row r="66" spans="1:4">
      <c r="A66" t="s">
        <v>79</v>
      </c>
      <c r="B66">
        <v>0.1944</v>
      </c>
      <c r="C66">
        <v>0.1944</v>
      </c>
      <c r="D66">
        <v>0</v>
      </c>
    </row>
    <row r="67" spans="1:4">
      <c r="A67" t="s">
        <v>80</v>
      </c>
      <c r="B67">
        <v>3.58848</v>
      </c>
      <c r="C67">
        <v>0.084728</v>
      </c>
      <c r="D67">
        <v>3.503752</v>
      </c>
    </row>
    <row r="68" spans="1:4">
      <c r="A68" t="s">
        <v>81</v>
      </c>
      <c r="B68">
        <v>0.1944</v>
      </c>
      <c r="C68">
        <v>0.1944</v>
      </c>
      <c r="D68">
        <v>0</v>
      </c>
    </row>
    <row r="69" spans="1:4">
      <c r="A69" t="s">
        <v>82</v>
      </c>
      <c r="B69">
        <v>1.387282</v>
      </c>
      <c r="C69">
        <v>0</v>
      </c>
      <c r="D69">
        <v>1.387282</v>
      </c>
    </row>
    <row r="70" spans="1:4">
      <c r="A70" t="s">
        <v>83</v>
      </c>
      <c r="B70">
        <v>26.663232</v>
      </c>
      <c r="C70">
        <v>8.959058</v>
      </c>
      <c r="D70">
        <v>17.704174</v>
      </c>
    </row>
    <row r="71" spans="1:4">
      <c r="A71" t="s">
        <v>84</v>
      </c>
      <c r="B71">
        <v>32.31936</v>
      </c>
      <c r="C71">
        <v>7.6944</v>
      </c>
      <c r="D71">
        <v>24.62496</v>
      </c>
    </row>
    <row r="72" spans="1:4">
      <c r="A72" t="s">
        <v>85</v>
      </c>
      <c r="B72">
        <v>5.51448</v>
      </c>
      <c r="C72">
        <v>0.101804</v>
      </c>
      <c r="D72">
        <v>5.412676</v>
      </c>
    </row>
    <row r="73" spans="1:4">
      <c r="A73" t="s">
        <v>86</v>
      </c>
      <c r="B73">
        <v>6.804</v>
      </c>
      <c r="C73">
        <v>6.804</v>
      </c>
      <c r="D73">
        <v>0</v>
      </c>
    </row>
    <row r="74" spans="1:4">
      <c r="A74" t="s">
        <v>87</v>
      </c>
      <c r="B74">
        <v>1.459942</v>
      </c>
      <c r="C74">
        <v>1.14912</v>
      </c>
      <c r="D74">
        <v>0.310822</v>
      </c>
    </row>
    <row r="75" spans="1:4">
      <c r="A75" t="s">
        <v>88</v>
      </c>
      <c r="B75">
        <v>0.1944</v>
      </c>
      <c r="C75">
        <v>0.1944</v>
      </c>
      <c r="D75">
        <v>0</v>
      </c>
    </row>
    <row r="76" spans="1:4">
      <c r="A76" t="s">
        <v>89</v>
      </c>
      <c r="B76">
        <v>2.2032</v>
      </c>
      <c r="C76">
        <v>0.07038</v>
      </c>
      <c r="D76">
        <v>2.13282</v>
      </c>
    </row>
    <row r="77" spans="1:4">
      <c r="A77" t="s">
        <v>90</v>
      </c>
      <c r="B77">
        <v>0.14688</v>
      </c>
      <c r="C77">
        <v>0.14688</v>
      </c>
      <c r="D77">
        <v>0</v>
      </c>
    </row>
    <row r="78" spans="1:4">
      <c r="A78" t="s">
        <v>91</v>
      </c>
      <c r="B78">
        <v>4.972472</v>
      </c>
      <c r="C78">
        <v>0</v>
      </c>
      <c r="D78">
        <v>4.972472</v>
      </c>
    </row>
    <row r="79" spans="1:4">
      <c r="A79" t="s">
        <v>92</v>
      </c>
      <c r="B79">
        <v>0.1944</v>
      </c>
      <c r="C79">
        <v>0.0063</v>
      </c>
      <c r="D79">
        <v>0.1881</v>
      </c>
    </row>
    <row r="80" spans="1:4">
      <c r="A80" t="s">
        <v>93</v>
      </c>
      <c r="B80">
        <v>10.927884</v>
      </c>
      <c r="C80">
        <v>3.58848</v>
      </c>
      <c r="D80">
        <v>7.339404</v>
      </c>
    </row>
    <row r="81" spans="1:4">
      <c r="A81" t="s">
        <v>94</v>
      </c>
      <c r="B81">
        <v>8.48952</v>
      </c>
      <c r="C81">
        <v>7.313487</v>
      </c>
      <c r="D81">
        <v>1.176033</v>
      </c>
    </row>
    <row r="82" spans="1:4">
      <c r="A82" t="s">
        <v>95</v>
      </c>
      <c r="B82">
        <v>1781.98747</v>
      </c>
      <c r="C82">
        <v>0</v>
      </c>
      <c r="D82">
        <v>1781.98747</v>
      </c>
    </row>
    <row r="83" spans="1:4">
      <c r="A83" t="s">
        <v>96</v>
      </c>
      <c r="B83">
        <v>1.628496</v>
      </c>
      <c r="C83">
        <v>0</v>
      </c>
      <c r="D83">
        <v>1.628496</v>
      </c>
    </row>
    <row r="84" spans="1:4">
      <c r="A84" t="s">
        <v>97</v>
      </c>
      <c r="B84">
        <v>14.796</v>
      </c>
      <c r="C84">
        <v>0</v>
      </c>
      <c r="D84">
        <v>14.796</v>
      </c>
    </row>
    <row r="85" spans="1:4">
      <c r="A85" t="s">
        <v>98</v>
      </c>
      <c r="B85">
        <v>12.81024</v>
      </c>
      <c r="C85">
        <v>7.431566</v>
      </c>
      <c r="D85">
        <v>5.378674</v>
      </c>
    </row>
    <row r="86" spans="1:4">
      <c r="A86" t="s">
        <v>99</v>
      </c>
      <c r="B86">
        <v>8848.892256</v>
      </c>
      <c r="C86">
        <v>9.386688</v>
      </c>
      <c r="D86">
        <v>8839.505568</v>
      </c>
    </row>
    <row r="87" spans="1:4">
      <c r="A87" t="s">
        <v>100</v>
      </c>
      <c r="B87">
        <v>31.962138</v>
      </c>
      <c r="C87">
        <v>1.118778</v>
      </c>
      <c r="D87">
        <v>30.84336</v>
      </c>
    </row>
    <row r="88" spans="1:4">
      <c r="A88" t="s">
        <v>101</v>
      </c>
      <c r="B88">
        <v>18.89568</v>
      </c>
      <c r="C88">
        <v>0</v>
      </c>
      <c r="D88">
        <v>18.89568</v>
      </c>
    </row>
    <row r="89" spans="1:4">
      <c r="A89" t="s">
        <v>102</v>
      </c>
      <c r="B89">
        <v>4499.730491</v>
      </c>
      <c r="C89">
        <v>37.873962</v>
      </c>
      <c r="D89">
        <v>4461.856529</v>
      </c>
    </row>
    <row r="90" spans="1:4">
      <c r="A90" t="s">
        <v>104</v>
      </c>
      <c r="B90">
        <v>3.1059</v>
      </c>
      <c r="C90">
        <v>0</v>
      </c>
      <c r="D90">
        <v>3.1059</v>
      </c>
    </row>
    <row r="91" spans="1:4">
      <c r="A91" t="s">
        <v>105</v>
      </c>
      <c r="B91">
        <v>19.931096</v>
      </c>
      <c r="C91">
        <v>10.951742</v>
      </c>
      <c r="D91">
        <v>8.979354</v>
      </c>
    </row>
    <row r="92" spans="1:4">
      <c r="A92" t="s">
        <v>106</v>
      </c>
      <c r="B92">
        <v>23.851918</v>
      </c>
      <c r="C92">
        <v>6.049296</v>
      </c>
      <c r="D92">
        <v>17.802622</v>
      </c>
    </row>
    <row r="93" spans="1:4">
      <c r="A93" t="s">
        <v>108</v>
      </c>
      <c r="B93">
        <v>1.296</v>
      </c>
      <c r="C93">
        <v>1.296</v>
      </c>
      <c r="D93">
        <v>0</v>
      </c>
    </row>
    <row r="94" spans="1:4">
      <c r="A94" t="s">
        <v>109</v>
      </c>
      <c r="B94">
        <v>1276.718481</v>
      </c>
      <c r="C94">
        <v>1276.718481</v>
      </c>
      <c r="D94">
        <v>0</v>
      </c>
    </row>
    <row r="95" spans="1:4">
      <c r="A95" t="s">
        <v>110</v>
      </c>
      <c r="B95">
        <v>14.949495</v>
      </c>
      <c r="C95">
        <v>0</v>
      </c>
      <c r="D95">
        <v>14.949495</v>
      </c>
    </row>
    <row r="96" spans="1:4">
      <c r="A96" t="s">
        <v>111</v>
      </c>
      <c r="B96">
        <v>29.554875</v>
      </c>
      <c r="C96">
        <v>0</v>
      </c>
      <c r="D96">
        <v>29.554875</v>
      </c>
    </row>
    <row r="97" spans="1:4">
      <c r="A97" t="s">
        <v>112</v>
      </c>
      <c r="B97">
        <v>1214.363846</v>
      </c>
      <c r="C97">
        <v>0</v>
      </c>
      <c r="D97">
        <v>1214.363846</v>
      </c>
    </row>
    <row r="98" spans="1:4">
      <c r="A98" t="s">
        <v>113</v>
      </c>
      <c r="B98">
        <v>0.20271</v>
      </c>
      <c r="C98">
        <v>0</v>
      </c>
      <c r="D98">
        <v>0.20271</v>
      </c>
    </row>
    <row r="99" spans="1:4">
      <c r="A99" t="s">
        <v>114</v>
      </c>
      <c r="B99">
        <v>11.1312</v>
      </c>
      <c r="C99">
        <v>0.404695</v>
      </c>
      <c r="D99">
        <v>10.726505</v>
      </c>
    </row>
    <row r="100" spans="1:4">
      <c r="A100" t="s">
        <v>115</v>
      </c>
      <c r="B100">
        <v>7.55599</v>
      </c>
      <c r="C100">
        <v>0</v>
      </c>
      <c r="D100">
        <v>7.55599</v>
      </c>
    </row>
    <row r="101" spans="1:4">
      <c r="A101" t="s">
        <v>116</v>
      </c>
      <c r="B101">
        <v>3.15432</v>
      </c>
      <c r="C101">
        <v>3.15432</v>
      </c>
      <c r="D101">
        <v>0</v>
      </c>
    </row>
    <row r="102" spans="1:4">
      <c r="A102" t="s">
        <v>117</v>
      </c>
      <c r="B102">
        <v>0.505144</v>
      </c>
      <c r="C102">
        <v>0</v>
      </c>
      <c r="D102">
        <v>0.505144</v>
      </c>
    </row>
    <row r="103" spans="1:4">
      <c r="A103" t="s">
        <v>118</v>
      </c>
      <c r="B103">
        <v>7.18776</v>
      </c>
      <c r="C103">
        <v>7.18776</v>
      </c>
      <c r="D103">
        <v>0</v>
      </c>
    </row>
    <row r="104" spans="1:4">
      <c r="A104" t="s">
        <v>119</v>
      </c>
      <c r="B104">
        <v>7.585744</v>
      </c>
      <c r="C104">
        <v>0</v>
      </c>
      <c r="D104">
        <v>7.585744</v>
      </c>
    </row>
    <row r="105" spans="1:4">
      <c r="A105" t="s">
        <v>120</v>
      </c>
      <c r="B105">
        <v>3.58848</v>
      </c>
      <c r="C105">
        <v>3.58848</v>
      </c>
      <c r="D105">
        <v>0</v>
      </c>
    </row>
    <row r="106" spans="1:4">
      <c r="A106" t="s">
        <v>121</v>
      </c>
      <c r="B106">
        <v>64.07401</v>
      </c>
      <c r="C106">
        <v>7.5</v>
      </c>
      <c r="D106">
        <v>56.57401</v>
      </c>
    </row>
    <row r="107" spans="1:4">
      <c r="A107" t="s">
        <v>122</v>
      </c>
      <c r="B107">
        <v>28.32763</v>
      </c>
      <c r="C107">
        <v>7.5</v>
      </c>
      <c r="D107">
        <v>20.82763</v>
      </c>
    </row>
    <row r="108" spans="1:4">
      <c r="A108" t="s">
        <v>123</v>
      </c>
      <c r="B108">
        <v>27.401345</v>
      </c>
      <c r="C108">
        <v>0</v>
      </c>
      <c r="D108">
        <v>27.401345</v>
      </c>
    </row>
    <row r="109" spans="1:4">
      <c r="A109" t="s">
        <v>124</v>
      </c>
      <c r="B109">
        <v>2.57616</v>
      </c>
      <c r="C109">
        <v>2.57616</v>
      </c>
      <c r="D109">
        <v>0</v>
      </c>
    </row>
    <row r="110" spans="1:4">
      <c r="A110" t="s">
        <v>125</v>
      </c>
      <c r="B110">
        <v>0.018174</v>
      </c>
      <c r="C110">
        <v>0</v>
      </c>
      <c r="D110">
        <v>0.018174</v>
      </c>
    </row>
    <row r="111" spans="1:4">
      <c r="A111" t="s">
        <v>126</v>
      </c>
      <c r="B111">
        <v>178.865895</v>
      </c>
      <c r="C111">
        <v>14.5</v>
      </c>
      <c r="D111">
        <v>164.365895</v>
      </c>
    </row>
    <row r="112" spans="1:4">
      <c r="A112" t="s">
        <v>127</v>
      </c>
      <c r="B112">
        <v>14.19716</v>
      </c>
      <c r="C112">
        <v>0</v>
      </c>
      <c r="D112">
        <v>14.19716</v>
      </c>
    </row>
    <row r="113" spans="1:4">
      <c r="A113" t="s">
        <v>128</v>
      </c>
      <c r="B113">
        <v>9.00288</v>
      </c>
      <c r="C113">
        <v>1.681389</v>
      </c>
      <c r="D113">
        <v>7.321491</v>
      </c>
    </row>
    <row r="114" spans="1:4">
      <c r="A114" t="s">
        <v>129</v>
      </c>
      <c r="B114">
        <v>8.013818</v>
      </c>
      <c r="C114">
        <v>3.62736</v>
      </c>
      <c r="D114">
        <v>4.386458</v>
      </c>
    </row>
    <row r="115" spans="1:4">
      <c r="A115" t="s">
        <v>130</v>
      </c>
      <c r="B115">
        <v>17.89709</v>
      </c>
      <c r="C115">
        <v>13.149782</v>
      </c>
      <c r="D115">
        <v>4.747308</v>
      </c>
    </row>
    <row r="116" spans="1:4">
      <c r="A116" t="s">
        <v>131</v>
      </c>
      <c r="B116">
        <v>2.25576</v>
      </c>
      <c r="C116">
        <v>2.25576</v>
      </c>
      <c r="D116">
        <v>0</v>
      </c>
    </row>
    <row r="117" spans="1:4">
      <c r="A117" t="s">
        <v>132</v>
      </c>
      <c r="B117">
        <v>0.301783</v>
      </c>
      <c r="C117">
        <v>0.301783</v>
      </c>
      <c r="D117">
        <v>0</v>
      </c>
    </row>
    <row r="118" spans="1:4">
      <c r="A118" t="s">
        <v>133</v>
      </c>
      <c r="B118">
        <v>22.328026</v>
      </c>
      <c r="C118">
        <v>8.752398</v>
      </c>
      <c r="D118">
        <v>13.575628</v>
      </c>
    </row>
    <row r="119" spans="1:4">
      <c r="A119" t="s">
        <v>134</v>
      </c>
      <c r="B119">
        <v>17.66656</v>
      </c>
      <c r="C119">
        <v>0</v>
      </c>
      <c r="D119">
        <v>17.66656</v>
      </c>
    </row>
    <row r="120" spans="1:4">
      <c r="A120" t="s">
        <v>135</v>
      </c>
      <c r="B120">
        <v>0.53568</v>
      </c>
      <c r="C120">
        <v>0.53568</v>
      </c>
      <c r="D120">
        <v>0</v>
      </c>
    </row>
    <row r="121" spans="1:4">
      <c r="A121" t="s">
        <v>136</v>
      </c>
      <c r="B121">
        <v>81.870378</v>
      </c>
      <c r="C121">
        <v>7.5</v>
      </c>
      <c r="D121">
        <v>74.370378</v>
      </c>
    </row>
    <row r="122" spans="1:4">
      <c r="A122" t="s">
        <v>137</v>
      </c>
      <c r="B122">
        <v>7.44659</v>
      </c>
      <c r="C122">
        <v>5.341668</v>
      </c>
      <c r="D122">
        <v>2.104922</v>
      </c>
    </row>
    <row r="123" spans="1:4">
      <c r="A123" t="s">
        <v>138</v>
      </c>
      <c r="B123">
        <v>160.721124</v>
      </c>
      <c r="C123">
        <v>7.5</v>
      </c>
      <c r="D123">
        <v>153.221124</v>
      </c>
    </row>
    <row r="124" spans="1:4">
      <c r="A124" t="s">
        <v>140</v>
      </c>
      <c r="B124">
        <v>29.828734</v>
      </c>
      <c r="C124">
        <v>0.7409</v>
      </c>
      <c r="D124">
        <v>29.087834</v>
      </c>
    </row>
    <row r="125" spans="1:4">
      <c r="A125" t="s">
        <v>141</v>
      </c>
      <c r="B125">
        <v>2.174356</v>
      </c>
      <c r="C125">
        <v>0</v>
      </c>
      <c r="D125">
        <v>2.174356</v>
      </c>
    </row>
    <row r="126" spans="1:4">
      <c r="A126" t="s">
        <v>142</v>
      </c>
      <c r="B126">
        <v>12.12408</v>
      </c>
      <c r="C126">
        <v>0</v>
      </c>
      <c r="D126">
        <v>12.12408</v>
      </c>
    </row>
    <row r="127" spans="1:4">
      <c r="A127" t="s">
        <v>143</v>
      </c>
      <c r="B127">
        <v>43.932504</v>
      </c>
      <c r="C127">
        <v>17.274974</v>
      </c>
      <c r="D127">
        <v>26.65753</v>
      </c>
    </row>
    <row r="128" spans="1:4">
      <c r="A128" t="s">
        <v>144</v>
      </c>
      <c r="B128">
        <v>10.08035</v>
      </c>
      <c r="C128">
        <v>0</v>
      </c>
      <c r="D128">
        <v>10.08035</v>
      </c>
    </row>
    <row r="129" spans="1:4">
      <c r="A129" t="s">
        <v>145</v>
      </c>
      <c r="B129">
        <v>7.17696</v>
      </c>
      <c r="C129">
        <v>7.156104</v>
      </c>
      <c r="D129">
        <v>0.020856</v>
      </c>
    </row>
    <row r="130" spans="1:4">
      <c r="A130" t="s">
        <v>146</v>
      </c>
      <c r="B130">
        <v>1.50264</v>
      </c>
      <c r="C130">
        <v>1.50264</v>
      </c>
      <c r="D130">
        <v>0</v>
      </c>
    </row>
    <row r="131" spans="1:4">
      <c r="A131" t="s">
        <v>147</v>
      </c>
      <c r="B131">
        <v>6.82557</v>
      </c>
      <c r="C131">
        <v>3.44232</v>
      </c>
      <c r="D131">
        <v>3.38325</v>
      </c>
    </row>
    <row r="132" spans="1:4">
      <c r="A132" t="s">
        <v>148</v>
      </c>
      <c r="B132">
        <v>3.46896</v>
      </c>
      <c r="C132">
        <v>3.46896</v>
      </c>
      <c r="D132">
        <v>0</v>
      </c>
    </row>
    <row r="133" spans="1:4">
      <c r="A133" t="s">
        <v>149</v>
      </c>
      <c r="B133">
        <v>45.813912</v>
      </c>
      <c r="C133">
        <v>45.813912</v>
      </c>
      <c r="D133">
        <v>0</v>
      </c>
    </row>
    <row r="134" spans="1:4">
      <c r="A134" t="s">
        <v>150</v>
      </c>
      <c r="B134">
        <v>3.58848</v>
      </c>
      <c r="C134">
        <v>3.58848</v>
      </c>
      <c r="D134">
        <v>0</v>
      </c>
    </row>
    <row r="135" spans="1:4">
      <c r="A135" t="s">
        <v>151</v>
      </c>
      <c r="B135">
        <v>3.06288</v>
      </c>
      <c r="C135">
        <v>3.06288</v>
      </c>
      <c r="D135">
        <v>0</v>
      </c>
    </row>
    <row r="136" spans="1:4">
      <c r="A136" t="s">
        <v>152</v>
      </c>
      <c r="B136">
        <v>10.76616</v>
      </c>
      <c r="C136">
        <v>2.615354</v>
      </c>
      <c r="D136">
        <v>8.150806</v>
      </c>
    </row>
    <row r="137" spans="1:4">
      <c r="A137" t="s">
        <v>153</v>
      </c>
      <c r="B137">
        <v>6.83568</v>
      </c>
      <c r="C137">
        <v>5.014566</v>
      </c>
      <c r="D137">
        <v>1.821114</v>
      </c>
    </row>
    <row r="138" spans="1:4">
      <c r="A138" t="s">
        <v>154</v>
      </c>
      <c r="B138">
        <v>12.75552</v>
      </c>
      <c r="C138">
        <v>1.783642</v>
      </c>
      <c r="D138">
        <v>10.971878</v>
      </c>
    </row>
    <row r="139" spans="1:4">
      <c r="A139" t="s">
        <v>155</v>
      </c>
      <c r="B139">
        <v>126.404343</v>
      </c>
      <c r="C139">
        <v>23.357593</v>
      </c>
      <c r="D139">
        <v>103.04675</v>
      </c>
    </row>
    <row r="140" spans="1:4">
      <c r="A140" t="s">
        <v>156</v>
      </c>
      <c r="B140">
        <v>76.456059</v>
      </c>
      <c r="C140">
        <v>9.45433</v>
      </c>
      <c r="D140">
        <v>67.001729</v>
      </c>
    </row>
    <row r="141" spans="1:4">
      <c r="A141" t="s">
        <v>157</v>
      </c>
      <c r="B141">
        <v>18.77472</v>
      </c>
      <c r="C141">
        <v>7.5</v>
      </c>
      <c r="D141">
        <v>11.27472</v>
      </c>
    </row>
    <row r="142" spans="1:4">
      <c r="A142" t="s">
        <v>158</v>
      </c>
      <c r="B142">
        <v>73.262513</v>
      </c>
      <c r="C142">
        <v>0</v>
      </c>
      <c r="D142">
        <v>73.262513</v>
      </c>
    </row>
    <row r="143" spans="1:4">
      <c r="A143" t="s">
        <v>159</v>
      </c>
      <c r="B143">
        <v>16.492476</v>
      </c>
      <c r="C143">
        <v>0</v>
      </c>
      <c r="D143">
        <v>16.492476</v>
      </c>
    </row>
    <row r="144" spans="1:4">
      <c r="A144" t="s">
        <v>160</v>
      </c>
      <c r="B144">
        <v>12.6006</v>
      </c>
      <c r="C144">
        <v>1.985753</v>
      </c>
      <c r="D144">
        <v>10.614847</v>
      </c>
    </row>
    <row r="145" spans="1:4">
      <c r="A145" t="s">
        <v>161</v>
      </c>
      <c r="B145">
        <v>5.321708</v>
      </c>
      <c r="C145">
        <v>2.485632</v>
      </c>
      <c r="D145">
        <v>2.836076</v>
      </c>
    </row>
    <row r="146" spans="1:4">
      <c r="A146" t="s">
        <v>162</v>
      </c>
      <c r="B146">
        <v>1.035573</v>
      </c>
      <c r="C146">
        <v>1.035573</v>
      </c>
      <c r="D146">
        <v>0</v>
      </c>
    </row>
    <row r="147" spans="1:4">
      <c r="A147" t="s">
        <v>163</v>
      </c>
      <c r="B147">
        <v>0.32328</v>
      </c>
      <c r="C147">
        <v>0.32328</v>
      </c>
      <c r="D147">
        <v>0</v>
      </c>
    </row>
    <row r="148" spans="1:4">
      <c r="A148" t="s">
        <v>164</v>
      </c>
      <c r="B148">
        <v>7.1892</v>
      </c>
      <c r="C148">
        <v>5.073645</v>
      </c>
      <c r="D148">
        <v>2.115555</v>
      </c>
    </row>
    <row r="149" spans="1:4">
      <c r="A149" t="s">
        <v>165</v>
      </c>
      <c r="B149">
        <v>28.34352</v>
      </c>
      <c r="C149">
        <v>7.5</v>
      </c>
      <c r="D149">
        <v>20.84352</v>
      </c>
    </row>
    <row r="150" spans="1:4">
      <c r="A150" t="s">
        <v>166</v>
      </c>
      <c r="B150">
        <v>48.413119</v>
      </c>
      <c r="C150">
        <v>0</v>
      </c>
      <c r="D150">
        <v>48.413119</v>
      </c>
    </row>
    <row r="151" spans="1:4">
      <c r="A151" t="s">
        <v>167</v>
      </c>
      <c r="B151">
        <v>6.45912</v>
      </c>
      <c r="C151">
        <v>5.880242</v>
      </c>
      <c r="D151">
        <v>0.578878</v>
      </c>
    </row>
    <row r="152" spans="1:4">
      <c r="A152" t="s">
        <v>168</v>
      </c>
      <c r="B152">
        <v>292.044478</v>
      </c>
      <c r="C152">
        <v>61.630696</v>
      </c>
      <c r="D152">
        <v>230.413782</v>
      </c>
    </row>
    <row r="153" spans="1:4">
      <c r="A153" t="s">
        <v>170</v>
      </c>
      <c r="B153">
        <v>392.098176</v>
      </c>
      <c r="C153">
        <v>14.435499</v>
      </c>
      <c r="D153">
        <v>377.662677</v>
      </c>
    </row>
    <row r="154" spans="1:4">
      <c r="A154" t="s">
        <v>172</v>
      </c>
      <c r="B154">
        <v>299.850144</v>
      </c>
      <c r="C154">
        <v>298.245822</v>
      </c>
      <c r="D154">
        <v>1.604322</v>
      </c>
    </row>
    <row r="155" spans="1:4">
      <c r="A155" t="s">
        <v>174</v>
      </c>
      <c r="B155">
        <v>186.908582</v>
      </c>
      <c r="C155">
        <v>181.639298</v>
      </c>
      <c r="D155">
        <v>5.269284</v>
      </c>
    </row>
    <row r="156" spans="1:4">
      <c r="A156" t="s">
        <v>175</v>
      </c>
      <c r="B156">
        <v>0.114726</v>
      </c>
      <c r="C156">
        <v>0.001488</v>
      </c>
      <c r="D156">
        <v>0.113238</v>
      </c>
    </row>
    <row r="157" spans="1:4">
      <c r="A157" t="s">
        <v>176</v>
      </c>
      <c r="B157">
        <v>9.48456</v>
      </c>
      <c r="C157">
        <v>9.48456</v>
      </c>
      <c r="D157">
        <v>0</v>
      </c>
    </row>
    <row r="158" spans="1:4">
      <c r="A158" t="s">
        <v>177</v>
      </c>
      <c r="B158">
        <v>14.779258</v>
      </c>
      <c r="C158">
        <v>11.329903</v>
      </c>
      <c r="D158">
        <v>3.449355</v>
      </c>
    </row>
    <row r="159" spans="1:4">
      <c r="A159" t="s">
        <v>178</v>
      </c>
      <c r="B159">
        <v>3.843102</v>
      </c>
      <c r="C159">
        <v>0</v>
      </c>
      <c r="D159">
        <v>3.843102</v>
      </c>
    </row>
    <row r="160" spans="1:4">
      <c r="A160" t="s">
        <v>179</v>
      </c>
      <c r="B160">
        <v>110.805383</v>
      </c>
      <c r="C160">
        <v>50.631264</v>
      </c>
      <c r="D160">
        <v>60.174119</v>
      </c>
    </row>
    <row r="161" spans="1:4">
      <c r="A161" t="s">
        <v>180</v>
      </c>
      <c r="B161">
        <v>9.408461</v>
      </c>
      <c r="C161">
        <v>1.423551</v>
      </c>
      <c r="D161">
        <v>7.98491</v>
      </c>
    </row>
    <row r="162" spans="1:4">
      <c r="A162" t="s">
        <v>181</v>
      </c>
      <c r="B162">
        <v>3.82392</v>
      </c>
      <c r="C162">
        <v>3.82392</v>
      </c>
      <c r="D162">
        <v>0</v>
      </c>
    </row>
    <row r="163" spans="1:4">
      <c r="A163" t="s">
        <v>182</v>
      </c>
      <c r="B163">
        <v>0.026096</v>
      </c>
      <c r="C163">
        <v>0</v>
      </c>
      <c r="D163">
        <v>0.026096</v>
      </c>
    </row>
    <row r="164" spans="1:4">
      <c r="A164" t="s">
        <v>183</v>
      </c>
      <c r="B164">
        <v>543.904016</v>
      </c>
      <c r="C164">
        <v>0</v>
      </c>
      <c r="D164">
        <v>543.904016</v>
      </c>
    </row>
    <row r="165" spans="1:4">
      <c r="A165" t="s">
        <v>184</v>
      </c>
      <c r="B165">
        <v>2.662258</v>
      </c>
      <c r="C165">
        <v>0</v>
      </c>
      <c r="D165">
        <v>2.662258</v>
      </c>
    </row>
    <row r="166" spans="1:4">
      <c r="A166" t="s">
        <v>185</v>
      </c>
      <c r="B166">
        <v>0.003262</v>
      </c>
      <c r="C166">
        <v>0</v>
      </c>
      <c r="D166">
        <v>0.003262</v>
      </c>
    </row>
    <row r="167" spans="1:4">
      <c r="A167" t="s">
        <v>186</v>
      </c>
      <c r="B167">
        <v>89.3694</v>
      </c>
      <c r="C167">
        <v>0</v>
      </c>
      <c r="D167">
        <v>89.3694</v>
      </c>
    </row>
    <row r="168" spans="1:4">
      <c r="A168" t="s">
        <v>187</v>
      </c>
      <c r="B168">
        <v>6030.90909</v>
      </c>
      <c r="C168">
        <v>0</v>
      </c>
      <c r="D168">
        <v>6030.90909</v>
      </c>
    </row>
    <row r="169" spans="1:4">
      <c r="A169" t="s">
        <v>188</v>
      </c>
      <c r="B169">
        <v>2.51532</v>
      </c>
      <c r="C169">
        <v>2.51532</v>
      </c>
      <c r="D169">
        <v>0</v>
      </c>
    </row>
    <row r="170" spans="1:4">
      <c r="A170" t="s">
        <v>189</v>
      </c>
      <c r="B170">
        <v>0.1944</v>
      </c>
      <c r="C170">
        <v>0</v>
      </c>
      <c r="D170">
        <v>0.1944</v>
      </c>
    </row>
    <row r="171" spans="1:4">
      <c r="A171" t="s">
        <v>190</v>
      </c>
      <c r="B171">
        <v>0.17708</v>
      </c>
      <c r="C171">
        <v>0</v>
      </c>
      <c r="D171">
        <v>0.17708</v>
      </c>
    </row>
    <row r="172" spans="1:4">
      <c r="A172" t="s">
        <v>191</v>
      </c>
      <c r="B172">
        <v>10.638126</v>
      </c>
      <c r="C172">
        <v>0.090288</v>
      </c>
      <c r="D172">
        <v>10.547838</v>
      </c>
    </row>
    <row r="173" spans="1:4">
      <c r="A173" t="s">
        <v>192</v>
      </c>
      <c r="B173">
        <v>7245.608456</v>
      </c>
      <c r="C173">
        <v>0</v>
      </c>
      <c r="D173">
        <v>7245.608456</v>
      </c>
    </row>
    <row r="174" spans="1:4">
      <c r="A174" t="s">
        <v>193</v>
      </c>
      <c r="B174">
        <v>676.594319</v>
      </c>
      <c r="C174">
        <v>2.285805</v>
      </c>
      <c r="D174">
        <v>674.308514</v>
      </c>
    </row>
    <row r="175" spans="1:4">
      <c r="A175" t="s">
        <v>194</v>
      </c>
      <c r="B175">
        <v>28.868333</v>
      </c>
      <c r="C175">
        <v>0.023715</v>
      </c>
      <c r="D175">
        <v>28.844618</v>
      </c>
    </row>
    <row r="176" spans="1:4">
      <c r="A176" t="s">
        <v>195</v>
      </c>
      <c r="B176">
        <v>443.273044</v>
      </c>
      <c r="C176">
        <v>13.668425</v>
      </c>
      <c r="D176">
        <v>429.604619</v>
      </c>
    </row>
    <row r="177" spans="1:4">
      <c r="A177" t="s">
        <v>196</v>
      </c>
      <c r="B177">
        <v>0.194624</v>
      </c>
      <c r="C177">
        <v>0.1944</v>
      </c>
      <c r="D177">
        <v>0.000224</v>
      </c>
    </row>
    <row r="178" spans="1:4">
      <c r="A178" t="s">
        <v>197</v>
      </c>
      <c r="B178">
        <v>5.486002</v>
      </c>
      <c r="C178">
        <v>5.486002</v>
      </c>
      <c r="D178">
        <v>0</v>
      </c>
    </row>
    <row r="179" spans="1:4">
      <c r="A179" t="s">
        <v>198</v>
      </c>
      <c r="B179">
        <v>52.646411</v>
      </c>
      <c r="C179">
        <v>6.505019</v>
      </c>
      <c r="D179">
        <v>46.141392</v>
      </c>
    </row>
    <row r="180" spans="1:4">
      <c r="A180" t="s">
        <v>199</v>
      </c>
      <c r="B180">
        <v>849.476055</v>
      </c>
      <c r="C180">
        <v>849.476055</v>
      </c>
      <c r="D180">
        <v>0</v>
      </c>
    </row>
    <row r="181" spans="1:4">
      <c r="A181" t="s">
        <v>200</v>
      </c>
      <c r="B181">
        <v>42.560126</v>
      </c>
      <c r="C181">
        <v>3.527598</v>
      </c>
      <c r="D181">
        <v>39.032528</v>
      </c>
    </row>
    <row r="182" spans="1:4">
      <c r="A182" t="s">
        <v>201</v>
      </c>
      <c r="B182">
        <v>0.30384</v>
      </c>
      <c r="C182">
        <v>0.30384</v>
      </c>
      <c r="D182">
        <v>0</v>
      </c>
    </row>
    <row r="183" spans="1:4">
      <c r="A183" t="s">
        <v>202</v>
      </c>
      <c r="B183">
        <v>0.98201</v>
      </c>
      <c r="C183">
        <v>0.98201</v>
      </c>
      <c r="D183">
        <v>0</v>
      </c>
    </row>
    <row r="184" spans="1:4">
      <c r="A184" t="s">
        <v>203</v>
      </c>
      <c r="B184">
        <v>1.08578</v>
      </c>
      <c r="C184">
        <v>0</v>
      </c>
      <c r="D184">
        <v>1.08578</v>
      </c>
    </row>
    <row r="185" spans="1:4">
      <c r="A185" t="s">
        <v>204</v>
      </c>
      <c r="B185">
        <v>0.16309</v>
      </c>
      <c r="C185">
        <v>0.16309</v>
      </c>
      <c r="D185">
        <v>0</v>
      </c>
    </row>
    <row r="186" spans="1:4">
      <c r="A186" t="s">
        <v>205</v>
      </c>
      <c r="B186">
        <v>0.605729</v>
      </c>
      <c r="C186">
        <v>0.605729</v>
      </c>
      <c r="D186">
        <v>0</v>
      </c>
    </row>
    <row r="187" spans="1:4">
      <c r="A187" t="s">
        <v>206</v>
      </c>
      <c r="B187">
        <v>20.339125</v>
      </c>
      <c r="C187">
        <v>0.332813</v>
      </c>
      <c r="D187">
        <v>20.006312</v>
      </c>
    </row>
    <row r="188" spans="1:4">
      <c r="A188" t="s">
        <v>207</v>
      </c>
      <c r="B188">
        <v>0.064774</v>
      </c>
      <c r="C188">
        <v>0</v>
      </c>
      <c r="D188">
        <v>0.064774</v>
      </c>
    </row>
    <row r="189" spans="1:4">
      <c r="A189" t="s">
        <v>208</v>
      </c>
      <c r="B189">
        <v>1.11888</v>
      </c>
      <c r="C189">
        <v>1.11888</v>
      </c>
      <c r="D189">
        <v>0</v>
      </c>
    </row>
    <row r="190" spans="1:4">
      <c r="A190" t="s">
        <v>209</v>
      </c>
      <c r="B190">
        <v>22.252032</v>
      </c>
      <c r="C190">
        <v>22.252032</v>
      </c>
      <c r="D190">
        <v>0</v>
      </c>
    </row>
    <row r="191" spans="1:4">
      <c r="A191" t="s">
        <v>210</v>
      </c>
      <c r="B191">
        <v>9.77462</v>
      </c>
      <c r="C191">
        <v>1.474228</v>
      </c>
      <c r="D191">
        <v>8.300392</v>
      </c>
    </row>
    <row r="192" spans="1:4">
      <c r="A192" t="s">
        <v>211</v>
      </c>
      <c r="B192">
        <v>250.913941</v>
      </c>
      <c r="C192">
        <v>17.670089</v>
      </c>
      <c r="D192">
        <v>233.243852</v>
      </c>
    </row>
    <row r="193" spans="1:4">
      <c r="A193" t="s">
        <v>212</v>
      </c>
      <c r="B193">
        <v>244.298162</v>
      </c>
      <c r="C193">
        <v>0.10584</v>
      </c>
      <c r="D193">
        <v>244.192322</v>
      </c>
    </row>
    <row r="194" spans="1:4">
      <c r="A194" t="s">
        <v>213</v>
      </c>
      <c r="B194">
        <v>0.0147</v>
      </c>
      <c r="C194">
        <v>0</v>
      </c>
      <c r="D194">
        <v>0.0147</v>
      </c>
    </row>
    <row r="195" spans="1:4">
      <c r="A195" t="s">
        <v>214</v>
      </c>
      <c r="B195">
        <v>0.014446</v>
      </c>
      <c r="C195">
        <v>0</v>
      </c>
      <c r="D195">
        <v>0.014446</v>
      </c>
    </row>
    <row r="196" spans="1:4">
      <c r="A196" t="s">
        <v>215</v>
      </c>
      <c r="B196">
        <v>0.176148</v>
      </c>
      <c r="C196">
        <v>0</v>
      </c>
      <c r="D196">
        <v>0.176148</v>
      </c>
    </row>
    <row r="197" spans="1:4">
      <c r="A197" t="s">
        <v>216</v>
      </c>
      <c r="B197">
        <v>5.293799</v>
      </c>
      <c r="C197">
        <v>0</v>
      </c>
      <c r="D197">
        <v>5.293799</v>
      </c>
    </row>
    <row r="198" spans="1:4">
      <c r="A198" t="s">
        <v>217</v>
      </c>
      <c r="B198">
        <v>0.281464</v>
      </c>
      <c r="C198">
        <v>0</v>
      </c>
      <c r="D198">
        <v>0.281464</v>
      </c>
    </row>
    <row r="199" spans="1:4">
      <c r="A199" t="s">
        <v>218</v>
      </c>
      <c r="B199">
        <v>0.263756</v>
      </c>
      <c r="C199">
        <v>0</v>
      </c>
      <c r="D199">
        <v>0.263756</v>
      </c>
    </row>
    <row r="200" spans="1:4">
      <c r="A200" t="s">
        <v>219</v>
      </c>
      <c r="B200">
        <v>0.154246</v>
      </c>
      <c r="C200">
        <v>0</v>
      </c>
      <c r="D200">
        <v>0.154246</v>
      </c>
    </row>
    <row r="201" spans="1:4">
      <c r="A201" t="s">
        <v>220</v>
      </c>
      <c r="B201">
        <v>10.066532</v>
      </c>
      <c r="C201">
        <v>0</v>
      </c>
      <c r="D201">
        <v>10.066532</v>
      </c>
    </row>
    <row r="202" spans="1:4">
      <c r="A202" t="s">
        <v>221</v>
      </c>
      <c r="B202">
        <v>14.448777</v>
      </c>
      <c r="C202">
        <v>8.07978</v>
      </c>
      <c r="D202">
        <v>6.368997</v>
      </c>
    </row>
    <row r="203" spans="1:4">
      <c r="A203" t="s">
        <v>222</v>
      </c>
      <c r="B203">
        <v>8.382518</v>
      </c>
      <c r="C203">
        <v>0</v>
      </c>
      <c r="D203">
        <v>8.382518</v>
      </c>
    </row>
    <row r="204" spans="1:4">
      <c r="A204" t="s">
        <v>223</v>
      </c>
      <c r="B204">
        <v>272.234711</v>
      </c>
      <c r="C204">
        <v>272.234711</v>
      </c>
      <c r="D204">
        <v>0</v>
      </c>
    </row>
    <row r="205" spans="1:4">
      <c r="A205" t="s">
        <v>224</v>
      </c>
      <c r="B205">
        <v>0.159473</v>
      </c>
      <c r="C205">
        <v>0.155745</v>
      </c>
      <c r="D205">
        <v>0.003728</v>
      </c>
    </row>
    <row r="206" spans="1:4">
      <c r="A206" t="s">
        <v>225</v>
      </c>
      <c r="B206">
        <v>1.684222</v>
      </c>
      <c r="C206">
        <v>1.684222</v>
      </c>
      <c r="D206">
        <v>0</v>
      </c>
    </row>
    <row r="207" spans="1:4">
      <c r="A207" t="s">
        <v>226</v>
      </c>
      <c r="B207">
        <v>4.454744</v>
      </c>
      <c r="C207">
        <v>2.57257</v>
      </c>
      <c r="D207">
        <v>1.882174</v>
      </c>
    </row>
    <row r="208" spans="1:4">
      <c r="A208" t="s">
        <v>227</v>
      </c>
      <c r="B208">
        <v>74.935388</v>
      </c>
      <c r="C208">
        <v>73.68144</v>
      </c>
      <c r="D208">
        <v>1.253948</v>
      </c>
    </row>
    <row r="209" spans="1:4">
      <c r="A209" t="s">
        <v>229</v>
      </c>
      <c r="B209">
        <v>6.46494</v>
      </c>
      <c r="C209">
        <v>3.468094</v>
      </c>
      <c r="D209">
        <v>2.996846</v>
      </c>
    </row>
    <row r="210" spans="1:4">
      <c r="A210" t="s">
        <v>230</v>
      </c>
      <c r="B210">
        <v>46.088064</v>
      </c>
      <c r="C210">
        <v>7.5</v>
      </c>
      <c r="D210">
        <v>38.588064</v>
      </c>
    </row>
    <row r="211" spans="1:4">
      <c r="A211" t="s">
        <v>231</v>
      </c>
      <c r="B211">
        <v>16.96706</v>
      </c>
      <c r="C211">
        <v>0</v>
      </c>
      <c r="D211">
        <v>16.96706</v>
      </c>
    </row>
    <row r="212" spans="1:4">
      <c r="A212" t="s">
        <v>232</v>
      </c>
      <c r="B212">
        <v>0.142596</v>
      </c>
      <c r="C212">
        <v>0</v>
      </c>
      <c r="D212">
        <v>0.142596</v>
      </c>
    </row>
    <row r="213" spans="1:4">
      <c r="A213" t="s">
        <v>233</v>
      </c>
      <c r="B213">
        <v>0.06291</v>
      </c>
      <c r="C213">
        <v>0</v>
      </c>
      <c r="D213">
        <v>0.06291</v>
      </c>
    </row>
    <row r="214" spans="1:4">
      <c r="A214" t="s">
        <v>234</v>
      </c>
      <c r="B214">
        <v>220.820259</v>
      </c>
      <c r="C214">
        <v>14.5</v>
      </c>
      <c r="D214">
        <v>206.320259</v>
      </c>
    </row>
    <row r="215" spans="1:4">
      <c r="A215" t="s">
        <v>235</v>
      </c>
      <c r="B215">
        <v>13.890994</v>
      </c>
      <c r="C215">
        <v>0</v>
      </c>
      <c r="D215">
        <v>13.890994</v>
      </c>
    </row>
    <row r="216" spans="1:4">
      <c r="A216" t="s">
        <v>236</v>
      </c>
      <c r="B216">
        <v>0.058716</v>
      </c>
      <c r="C216">
        <v>0</v>
      </c>
      <c r="D216">
        <v>0.058716</v>
      </c>
    </row>
    <row r="217" spans="1:4">
      <c r="A217" t="s">
        <v>237</v>
      </c>
      <c r="B217">
        <v>3.270164</v>
      </c>
      <c r="C217">
        <v>2.935576</v>
      </c>
      <c r="D217">
        <v>0.334588</v>
      </c>
    </row>
    <row r="218" spans="1:4">
      <c r="A218" t="s">
        <v>238</v>
      </c>
      <c r="B218">
        <v>0.059182</v>
      </c>
      <c r="C218">
        <v>0</v>
      </c>
      <c r="D218">
        <v>0.059182</v>
      </c>
    </row>
    <row r="219" spans="1:4">
      <c r="A219" t="s">
        <v>239</v>
      </c>
      <c r="B219">
        <v>509.265411</v>
      </c>
      <c r="C219">
        <v>4.842588</v>
      </c>
      <c r="D219">
        <v>504.422823</v>
      </c>
    </row>
    <row r="220" spans="1:4">
      <c r="A220" t="s">
        <v>240</v>
      </c>
      <c r="B220">
        <v>44.979977</v>
      </c>
      <c r="C220">
        <v>7.5</v>
      </c>
      <c r="D220">
        <v>37.479977</v>
      </c>
    </row>
    <row r="221" spans="1:4">
      <c r="A221" t="s">
        <v>241</v>
      </c>
      <c r="B221">
        <v>28.163494</v>
      </c>
      <c r="C221">
        <v>4.477982</v>
      </c>
      <c r="D221">
        <v>23.685512</v>
      </c>
    </row>
    <row r="222" spans="1:4">
      <c r="A222" t="s">
        <v>242</v>
      </c>
      <c r="B222">
        <v>6.953464</v>
      </c>
      <c r="C222">
        <v>0.287334</v>
      </c>
      <c r="D222">
        <v>6.66613</v>
      </c>
    </row>
    <row r="223" spans="1:4">
      <c r="A223" t="s">
        <v>243</v>
      </c>
      <c r="B223">
        <v>6.588059</v>
      </c>
      <c r="C223">
        <v>6.588059</v>
      </c>
      <c r="D223">
        <v>0</v>
      </c>
    </row>
    <row r="224" spans="1:4">
      <c r="A224" t="s">
        <v>244</v>
      </c>
      <c r="B224">
        <v>17.998435</v>
      </c>
      <c r="C224">
        <v>0</v>
      </c>
      <c r="D224">
        <v>17.998435</v>
      </c>
    </row>
    <row r="225" spans="1:4">
      <c r="A225" t="s">
        <v>245</v>
      </c>
      <c r="B225">
        <v>4.84282</v>
      </c>
      <c r="C225">
        <v>4.84282</v>
      </c>
      <c r="D225">
        <v>0</v>
      </c>
    </row>
    <row r="226" spans="1:4">
      <c r="A226" t="s">
        <v>246</v>
      </c>
      <c r="B226">
        <v>253.807832</v>
      </c>
      <c r="C226">
        <v>0</v>
      </c>
      <c r="D226">
        <v>253.807832</v>
      </c>
    </row>
    <row r="227" spans="1:4">
      <c r="A227" t="s">
        <v>248</v>
      </c>
      <c r="B227">
        <v>137.173624</v>
      </c>
      <c r="C227">
        <v>0</v>
      </c>
      <c r="D227">
        <v>137.173624</v>
      </c>
    </row>
    <row r="228" spans="1:4">
      <c r="A228" t="s">
        <v>249</v>
      </c>
      <c r="B228">
        <v>0.74605</v>
      </c>
      <c r="C228">
        <v>0.74605</v>
      </c>
      <c r="D228">
        <v>0</v>
      </c>
    </row>
    <row r="229" spans="1:4">
      <c r="A229" t="s">
        <v>250</v>
      </c>
      <c r="B229">
        <v>11.076532</v>
      </c>
      <c r="C229">
        <v>5.817722</v>
      </c>
      <c r="D229">
        <v>5.25881</v>
      </c>
    </row>
    <row r="230" spans="1:4">
      <c r="A230" t="s">
        <v>251</v>
      </c>
      <c r="B230">
        <v>114.074397</v>
      </c>
      <c r="C230">
        <v>17.5</v>
      </c>
      <c r="D230">
        <v>96.574397</v>
      </c>
    </row>
    <row r="231" spans="1:4">
      <c r="A231" t="s">
        <v>252</v>
      </c>
      <c r="B231">
        <v>20.20952</v>
      </c>
      <c r="C231">
        <v>7.5</v>
      </c>
      <c r="D231">
        <v>12.70952</v>
      </c>
    </row>
    <row r="232" spans="1:4">
      <c r="A232" t="s">
        <v>253</v>
      </c>
      <c r="B232">
        <v>19.651779</v>
      </c>
      <c r="C232">
        <v>5.317153</v>
      </c>
      <c r="D232">
        <v>14.334626</v>
      </c>
    </row>
    <row r="233" spans="1:4">
      <c r="A233" t="s">
        <v>254</v>
      </c>
      <c r="B233">
        <v>112.958546</v>
      </c>
      <c r="C233">
        <v>107.5</v>
      </c>
      <c r="D233">
        <v>5.458546</v>
      </c>
    </row>
    <row r="234" spans="1:4">
      <c r="A234" t="s">
        <v>255</v>
      </c>
      <c r="B234">
        <v>5.676276</v>
      </c>
      <c r="C234">
        <v>3.156362</v>
      </c>
      <c r="D234">
        <v>2.519914</v>
      </c>
    </row>
    <row r="235" spans="1:4">
      <c r="A235" t="s">
        <v>256</v>
      </c>
      <c r="B235">
        <v>0.070094</v>
      </c>
      <c r="C235">
        <v>0</v>
      </c>
      <c r="D235">
        <v>0.070094</v>
      </c>
    </row>
    <row r="236" spans="1:4">
      <c r="A236" t="s">
        <v>257</v>
      </c>
      <c r="B236">
        <v>75.558973</v>
      </c>
      <c r="C236">
        <v>7.5</v>
      </c>
      <c r="D236">
        <v>68.058973</v>
      </c>
    </row>
    <row r="237" spans="1:4">
      <c r="A237" t="s">
        <v>258</v>
      </c>
      <c r="B237">
        <v>2.12496</v>
      </c>
      <c r="C237">
        <v>0</v>
      </c>
      <c r="D237">
        <v>2.12496</v>
      </c>
    </row>
    <row r="238" spans="1:4">
      <c r="A238" t="s">
        <v>259</v>
      </c>
      <c r="B238">
        <v>4.63471</v>
      </c>
      <c r="C238">
        <v>4.63471</v>
      </c>
      <c r="D238">
        <v>0</v>
      </c>
    </row>
    <row r="239" spans="1:4">
      <c r="A239" t="s">
        <v>260</v>
      </c>
      <c r="B239">
        <v>170.392593</v>
      </c>
      <c r="C239">
        <v>7.114051</v>
      </c>
      <c r="D239">
        <v>163.278542</v>
      </c>
    </row>
    <row r="240" spans="1:4">
      <c r="A240" t="s">
        <v>261</v>
      </c>
      <c r="B240">
        <v>0.061046</v>
      </c>
      <c r="C240">
        <v>0</v>
      </c>
      <c r="D240">
        <v>0.061046</v>
      </c>
    </row>
    <row r="241" spans="1:4">
      <c r="A241" t="s">
        <v>262</v>
      </c>
      <c r="B241">
        <v>0.415034</v>
      </c>
      <c r="C241">
        <v>0</v>
      </c>
      <c r="D241">
        <v>0.415034</v>
      </c>
    </row>
    <row r="242" spans="1:4">
      <c r="A242" t="s">
        <v>263</v>
      </c>
      <c r="B242">
        <v>3523.873787</v>
      </c>
      <c r="C242">
        <v>0</v>
      </c>
      <c r="D242">
        <v>3523.873787</v>
      </c>
    </row>
    <row r="243" spans="1:4">
      <c r="A243" t="s">
        <v>264</v>
      </c>
      <c r="B243">
        <v>820.3464</v>
      </c>
      <c r="C243">
        <v>0</v>
      </c>
      <c r="D243">
        <v>820.3464</v>
      </c>
    </row>
    <row r="244" spans="1:4">
      <c r="A244" t="s">
        <v>265</v>
      </c>
      <c r="B244">
        <v>50.772101</v>
      </c>
      <c r="C244">
        <v>50.4592</v>
      </c>
      <c r="D244">
        <v>0.312901</v>
      </c>
    </row>
    <row r="245" spans="1:4">
      <c r="A245" t="s">
        <v>267</v>
      </c>
      <c r="B245">
        <v>0.040946</v>
      </c>
      <c r="C245">
        <v>0</v>
      </c>
      <c r="D245">
        <v>0.040946</v>
      </c>
    </row>
    <row r="246" spans="1:4">
      <c r="A246" t="s">
        <v>268</v>
      </c>
      <c r="B246">
        <v>41.072308</v>
      </c>
      <c r="C246">
        <v>0</v>
      </c>
      <c r="D246">
        <v>41.072308</v>
      </c>
    </row>
    <row r="247" spans="1:4">
      <c r="A247" t="s">
        <v>269</v>
      </c>
      <c r="B247">
        <v>0.169624</v>
      </c>
      <c r="C247">
        <v>0</v>
      </c>
      <c r="D247">
        <v>0.169624</v>
      </c>
    </row>
    <row r="248" spans="1:4">
      <c r="A248" t="s">
        <v>270</v>
      </c>
      <c r="B248">
        <v>0.178478</v>
      </c>
      <c r="C248">
        <v>0</v>
      </c>
      <c r="D248">
        <v>0.178478</v>
      </c>
    </row>
    <row r="249" spans="1:4">
      <c r="A249" t="s">
        <v>271</v>
      </c>
      <c r="B249">
        <v>546.211232</v>
      </c>
      <c r="C249">
        <v>5.673134</v>
      </c>
      <c r="D249">
        <v>540.538098</v>
      </c>
    </row>
    <row r="250" spans="1:4">
      <c r="A250" t="s">
        <v>273</v>
      </c>
      <c r="B250">
        <v>42.675139</v>
      </c>
      <c r="C250">
        <v>5.540531</v>
      </c>
      <c r="D250">
        <v>37.134608</v>
      </c>
    </row>
    <row r="251" spans="1:4">
      <c r="A251" t="s">
        <v>274</v>
      </c>
      <c r="B251">
        <v>11.676978</v>
      </c>
      <c r="C251">
        <v>0</v>
      </c>
      <c r="D251">
        <v>11.676978</v>
      </c>
    </row>
    <row r="252" spans="1:4">
      <c r="A252" t="s">
        <v>275</v>
      </c>
      <c r="B252">
        <v>0.187332</v>
      </c>
      <c r="C252">
        <v>0</v>
      </c>
      <c r="D252">
        <v>0.187332</v>
      </c>
    </row>
    <row r="253" spans="1:4">
      <c r="A253" t="s">
        <v>276</v>
      </c>
      <c r="B253">
        <v>298.083273</v>
      </c>
      <c r="C253">
        <v>7.933965</v>
      </c>
      <c r="D253">
        <v>290.149308</v>
      </c>
    </row>
    <row r="254" spans="1:4">
      <c r="A254" t="s">
        <v>277</v>
      </c>
      <c r="B254">
        <v>116.731532</v>
      </c>
      <c r="C254">
        <v>57.5</v>
      </c>
      <c r="D254">
        <v>59.231532</v>
      </c>
    </row>
    <row r="255" spans="1:4">
      <c r="A255" t="s">
        <v>278</v>
      </c>
      <c r="B255">
        <v>2.334798</v>
      </c>
      <c r="C255">
        <v>2.334798</v>
      </c>
      <c r="D255">
        <v>0</v>
      </c>
    </row>
    <row r="256" spans="1:4">
      <c r="A256" t="s">
        <v>279</v>
      </c>
      <c r="B256">
        <v>10.322714</v>
      </c>
      <c r="C256">
        <v>10.144342</v>
      </c>
      <c r="D256">
        <v>0.178372</v>
      </c>
    </row>
    <row r="257" spans="1:4">
      <c r="A257" t="s">
        <v>280</v>
      </c>
      <c r="B257">
        <v>28.24085</v>
      </c>
      <c r="C257">
        <v>0</v>
      </c>
      <c r="D257">
        <v>28.24085</v>
      </c>
    </row>
    <row r="258" spans="1:4">
      <c r="A258" t="s">
        <v>281</v>
      </c>
      <c r="B258">
        <v>289.88928</v>
      </c>
      <c r="C258">
        <v>0</v>
      </c>
      <c r="D258">
        <v>289.88928</v>
      </c>
    </row>
    <row r="259" spans="1:4">
      <c r="A259" t="s">
        <v>282</v>
      </c>
      <c r="B259">
        <v>0.297774</v>
      </c>
      <c r="C259">
        <v>0</v>
      </c>
      <c r="D259">
        <v>0.297774</v>
      </c>
    </row>
    <row r="260" spans="1:4">
      <c r="A260" t="s">
        <v>283</v>
      </c>
      <c r="B260">
        <v>5.380769</v>
      </c>
      <c r="C260">
        <v>0</v>
      </c>
      <c r="D260">
        <v>5.380769</v>
      </c>
    </row>
    <row r="261" spans="1:4">
      <c r="A261" t="s">
        <v>284</v>
      </c>
      <c r="B261">
        <v>63.1244</v>
      </c>
      <c r="C261">
        <v>12.108872</v>
      </c>
      <c r="D261">
        <v>51.015528</v>
      </c>
    </row>
    <row r="262" spans="1:4">
      <c r="A262" t="s">
        <v>285</v>
      </c>
      <c r="B262">
        <v>0.049862</v>
      </c>
      <c r="C262">
        <v>0</v>
      </c>
      <c r="D262">
        <v>0.049862</v>
      </c>
    </row>
    <row r="263" spans="1:4">
      <c r="A263" t="s">
        <v>286</v>
      </c>
      <c r="B263">
        <v>6.163316</v>
      </c>
      <c r="C263">
        <v>0</v>
      </c>
      <c r="D263">
        <v>6.163316</v>
      </c>
    </row>
    <row r="264" spans="1:4">
      <c r="A264" t="s">
        <v>287</v>
      </c>
      <c r="B264">
        <v>1.955802</v>
      </c>
      <c r="C264">
        <v>1.955802</v>
      </c>
      <c r="D264">
        <v>0</v>
      </c>
    </row>
    <row r="265" spans="1:4">
      <c r="A265" t="s">
        <v>288</v>
      </c>
      <c r="B265">
        <v>84.594766</v>
      </c>
      <c r="C265">
        <v>6.780432</v>
      </c>
      <c r="D265">
        <v>77.814334</v>
      </c>
    </row>
    <row r="266" spans="1:4">
      <c r="A266" t="s">
        <v>289</v>
      </c>
      <c r="B266">
        <v>7.989104</v>
      </c>
      <c r="C266">
        <v>0</v>
      </c>
      <c r="D266">
        <v>7.989104</v>
      </c>
    </row>
    <row r="267" spans="1:4">
      <c r="A267" t="s">
        <v>290</v>
      </c>
      <c r="B267">
        <v>0.254004</v>
      </c>
      <c r="C267">
        <v>0</v>
      </c>
      <c r="D267">
        <v>0.254004</v>
      </c>
    </row>
    <row r="268" spans="1:4">
      <c r="A268" t="s">
        <v>291</v>
      </c>
      <c r="B268">
        <v>165.679259</v>
      </c>
      <c r="C268">
        <v>26.353859</v>
      </c>
      <c r="D268">
        <v>139.3254</v>
      </c>
    </row>
    <row r="269" spans="1:4">
      <c r="A269" t="s">
        <v>292</v>
      </c>
      <c r="B269">
        <v>4.507042</v>
      </c>
      <c r="C269">
        <v>2.571744</v>
      </c>
      <c r="D269">
        <v>1.935298</v>
      </c>
    </row>
    <row r="270" spans="1:4">
      <c r="A270" t="s">
        <v>293</v>
      </c>
      <c r="B270">
        <v>10.588321</v>
      </c>
      <c r="C270">
        <v>10</v>
      </c>
      <c r="D270">
        <v>0.588321</v>
      </c>
    </row>
    <row r="271" spans="1:4">
      <c r="A271" t="s">
        <v>294</v>
      </c>
      <c r="B271">
        <v>156.283892</v>
      </c>
      <c r="C271">
        <v>15.705729</v>
      </c>
      <c r="D271">
        <v>140.578163</v>
      </c>
    </row>
    <row r="272" spans="1:4">
      <c r="A272" t="s">
        <v>295</v>
      </c>
      <c r="B272">
        <v>58.955512</v>
      </c>
      <c r="C272">
        <v>7.786031</v>
      </c>
      <c r="D272">
        <v>51.169481</v>
      </c>
    </row>
    <row r="273" spans="1:4">
      <c r="A273" t="s">
        <v>296</v>
      </c>
      <c r="B273">
        <v>0.262332</v>
      </c>
      <c r="C273">
        <v>0</v>
      </c>
      <c r="D273">
        <v>0.262332</v>
      </c>
    </row>
    <row r="274" spans="1:4">
      <c r="A274" t="s">
        <v>297</v>
      </c>
      <c r="B274">
        <v>8.609354</v>
      </c>
      <c r="C274">
        <v>1.439012</v>
      </c>
      <c r="D274">
        <v>7.170342</v>
      </c>
    </row>
    <row r="275" spans="1:4">
      <c r="A275" t="s">
        <v>298</v>
      </c>
      <c r="B275">
        <v>10.532838</v>
      </c>
      <c r="C275">
        <v>0</v>
      </c>
      <c r="D275">
        <v>10.532838</v>
      </c>
    </row>
    <row r="276" spans="1:4">
      <c r="A276" t="s">
        <v>299</v>
      </c>
      <c r="B276">
        <v>5.961082</v>
      </c>
      <c r="C276">
        <v>0.20803</v>
      </c>
      <c r="D276">
        <v>5.753052</v>
      </c>
    </row>
    <row r="277" spans="1:4">
      <c r="A277" t="s">
        <v>300</v>
      </c>
      <c r="B277">
        <v>0.59662</v>
      </c>
      <c r="C277">
        <v>0.13761</v>
      </c>
      <c r="D277">
        <v>0.45901</v>
      </c>
    </row>
    <row r="278" spans="1:4">
      <c r="A278" t="s">
        <v>301</v>
      </c>
      <c r="B278">
        <v>8.671321</v>
      </c>
      <c r="C278">
        <v>7.5</v>
      </c>
      <c r="D278">
        <v>1.171321</v>
      </c>
    </row>
    <row r="279" spans="1:4">
      <c r="A279" t="s">
        <v>302</v>
      </c>
      <c r="B279">
        <v>8.433488</v>
      </c>
      <c r="C279">
        <v>0</v>
      </c>
      <c r="D279">
        <v>8.433488</v>
      </c>
    </row>
    <row r="280" spans="1:4">
      <c r="A280" t="s">
        <v>303</v>
      </c>
      <c r="B280">
        <v>51.82477</v>
      </c>
      <c r="C280">
        <v>10.581584</v>
      </c>
      <c r="D280">
        <v>41.243186</v>
      </c>
    </row>
    <row r="281" spans="1:4">
      <c r="A281" t="s">
        <v>304</v>
      </c>
      <c r="B281">
        <v>4.319456</v>
      </c>
      <c r="C281">
        <v>0</v>
      </c>
      <c r="D281">
        <v>4.319456</v>
      </c>
    </row>
    <row r="282" spans="1:4">
      <c r="A282" t="s">
        <v>305</v>
      </c>
      <c r="B282">
        <v>10.103346</v>
      </c>
      <c r="C282">
        <v>0</v>
      </c>
      <c r="D282">
        <v>10.103346</v>
      </c>
    </row>
    <row r="283" spans="1:4">
      <c r="A283" t="s">
        <v>306</v>
      </c>
      <c r="B283">
        <v>821.911694</v>
      </c>
      <c r="C283">
        <v>0</v>
      </c>
      <c r="D283">
        <v>821.911694</v>
      </c>
    </row>
    <row r="284" spans="1:4">
      <c r="A284" t="s">
        <v>307</v>
      </c>
      <c r="B284">
        <v>25.674252</v>
      </c>
      <c r="C284">
        <v>7.5</v>
      </c>
      <c r="D284">
        <v>18.174252</v>
      </c>
    </row>
    <row r="285" spans="1:4">
      <c r="A285" t="s">
        <v>308</v>
      </c>
      <c r="B285">
        <v>215.513159</v>
      </c>
      <c r="C285">
        <v>10</v>
      </c>
      <c r="D285">
        <v>205.513159</v>
      </c>
    </row>
    <row r="286" spans="1:4">
      <c r="A286" t="s">
        <v>309</v>
      </c>
      <c r="B286">
        <v>3.183365</v>
      </c>
      <c r="C286">
        <v>0</v>
      </c>
      <c r="D286">
        <v>3.183365</v>
      </c>
    </row>
    <row r="287" spans="1:4">
      <c r="A287" t="s">
        <v>310</v>
      </c>
      <c r="B287">
        <v>56.037257</v>
      </c>
      <c r="C287">
        <v>7.5</v>
      </c>
      <c r="D287">
        <v>48.537257</v>
      </c>
    </row>
    <row r="288" spans="1:4">
      <c r="A288" t="s">
        <v>311</v>
      </c>
      <c r="B288">
        <v>13.921284</v>
      </c>
      <c r="C288">
        <v>0</v>
      </c>
      <c r="D288">
        <v>13.921284</v>
      </c>
    </row>
    <row r="289" spans="1:4">
      <c r="A289" t="s">
        <v>312</v>
      </c>
      <c r="B289">
        <v>3.334696</v>
      </c>
      <c r="C289">
        <v>0</v>
      </c>
      <c r="D289">
        <v>3.334696</v>
      </c>
    </row>
    <row r="290" spans="1:4">
      <c r="A290" t="s">
        <v>313</v>
      </c>
      <c r="B290">
        <v>60.508295</v>
      </c>
      <c r="C290">
        <v>7.5</v>
      </c>
      <c r="D290">
        <v>53.008295</v>
      </c>
    </row>
    <row r="291" spans="1:4">
      <c r="A291" t="s">
        <v>314</v>
      </c>
      <c r="B291">
        <v>0.857906</v>
      </c>
      <c r="C291">
        <v>0</v>
      </c>
      <c r="D291">
        <v>0.857906</v>
      </c>
    </row>
    <row r="292" spans="1:4">
      <c r="A292" t="s">
        <v>315</v>
      </c>
      <c r="B292">
        <v>0.150052</v>
      </c>
      <c r="C292">
        <v>0</v>
      </c>
      <c r="D292">
        <v>0.150052</v>
      </c>
    </row>
    <row r="293" spans="1:4">
      <c r="A293" t="s">
        <v>316</v>
      </c>
      <c r="B293">
        <v>3.515504</v>
      </c>
      <c r="C293">
        <v>0</v>
      </c>
      <c r="D293">
        <v>3.515504</v>
      </c>
    </row>
    <row r="294" spans="1:4">
      <c r="A294" t="s">
        <v>317</v>
      </c>
      <c r="B294">
        <v>3.98197</v>
      </c>
      <c r="C294">
        <v>0</v>
      </c>
      <c r="D294">
        <v>3.98197</v>
      </c>
    </row>
    <row r="295" spans="1:4">
      <c r="A295" t="s">
        <v>318</v>
      </c>
      <c r="B295">
        <v>4.617876</v>
      </c>
      <c r="C295">
        <v>0</v>
      </c>
      <c r="D295">
        <v>4.617876</v>
      </c>
    </row>
    <row r="296" spans="1:4">
      <c r="A296" t="s">
        <v>319</v>
      </c>
      <c r="B296">
        <v>223.920722</v>
      </c>
      <c r="C296">
        <v>7.71613</v>
      </c>
      <c r="D296">
        <v>216.204592</v>
      </c>
    </row>
    <row r="297" spans="1:4">
      <c r="A297" t="s">
        <v>320</v>
      </c>
      <c r="B297">
        <v>0.158906</v>
      </c>
      <c r="C297">
        <v>0</v>
      </c>
      <c r="D297">
        <v>0.158906</v>
      </c>
    </row>
    <row r="298" spans="1:4">
      <c r="A298" t="s">
        <v>321</v>
      </c>
      <c r="B298">
        <v>39.8434</v>
      </c>
      <c r="C298">
        <v>11.520648</v>
      </c>
      <c r="D298">
        <v>28.322752</v>
      </c>
    </row>
    <row r="299" spans="1:4">
      <c r="A299" t="s">
        <v>322</v>
      </c>
      <c r="B299">
        <v>195.86074</v>
      </c>
      <c r="C299">
        <v>17.5</v>
      </c>
      <c r="D299">
        <v>178.36074</v>
      </c>
    </row>
    <row r="300" spans="1:4">
      <c r="A300" t="s">
        <v>323</v>
      </c>
      <c r="B300">
        <v>82.136713</v>
      </c>
      <c r="C300">
        <v>3.647994</v>
      </c>
      <c r="D300">
        <v>78.488719</v>
      </c>
    </row>
    <row r="301" spans="1:4">
      <c r="A301" t="s">
        <v>324</v>
      </c>
      <c r="B301">
        <v>0.695272</v>
      </c>
      <c r="C301">
        <v>0</v>
      </c>
      <c r="D301">
        <v>0.695272</v>
      </c>
    </row>
    <row r="302" spans="1:4">
      <c r="A302" t="s">
        <v>325</v>
      </c>
      <c r="B302">
        <v>8.955002</v>
      </c>
      <c r="C302">
        <v>5.544712</v>
      </c>
      <c r="D302">
        <v>3.41029</v>
      </c>
    </row>
    <row r="303" spans="1:4">
      <c r="A303" t="s">
        <v>326</v>
      </c>
      <c r="B303">
        <v>62.587399</v>
      </c>
      <c r="C303">
        <v>7.5</v>
      </c>
      <c r="D303">
        <v>55.087399</v>
      </c>
    </row>
    <row r="304" spans="1:4">
      <c r="A304" t="s">
        <v>327</v>
      </c>
      <c r="B304">
        <v>2.3533</v>
      </c>
      <c r="C304">
        <v>0</v>
      </c>
      <c r="D304">
        <v>2.3533</v>
      </c>
    </row>
    <row r="305" spans="1:4">
      <c r="A305" t="s">
        <v>328</v>
      </c>
      <c r="B305">
        <v>1.50984</v>
      </c>
      <c r="C305">
        <v>0</v>
      </c>
      <c r="D305">
        <v>1.50984</v>
      </c>
    </row>
    <row r="306" spans="1:4">
      <c r="A306" t="s">
        <v>329</v>
      </c>
      <c r="B306">
        <v>10.104853</v>
      </c>
      <c r="C306">
        <v>10</v>
      </c>
      <c r="D306">
        <v>0.104853</v>
      </c>
    </row>
    <row r="307" spans="1:4">
      <c r="A307" t="s">
        <v>330</v>
      </c>
      <c r="B307">
        <v>0.029824</v>
      </c>
      <c r="C307">
        <v>0</v>
      </c>
      <c r="D307">
        <v>0.029824</v>
      </c>
    </row>
    <row r="308" spans="1:4">
      <c r="A308" t="s">
        <v>331</v>
      </c>
      <c r="B308">
        <v>50.354033</v>
      </c>
      <c r="C308">
        <v>17.5</v>
      </c>
      <c r="D308">
        <v>32.854033</v>
      </c>
    </row>
    <row r="309" spans="1:4">
      <c r="A309" t="s">
        <v>332</v>
      </c>
      <c r="B309">
        <v>6.35158</v>
      </c>
      <c r="C309">
        <v>0</v>
      </c>
      <c r="D309">
        <v>6.35158</v>
      </c>
    </row>
    <row r="310" spans="1:4">
      <c r="A310" t="s">
        <v>333</v>
      </c>
      <c r="B310">
        <v>0.953652</v>
      </c>
      <c r="C310">
        <v>0.94806</v>
      </c>
      <c r="D310">
        <v>0.005592</v>
      </c>
    </row>
    <row r="311" spans="1:4">
      <c r="A311" t="s">
        <v>334</v>
      </c>
      <c r="B311">
        <v>10.094924</v>
      </c>
      <c r="C311">
        <v>0</v>
      </c>
      <c r="D311">
        <v>10.094924</v>
      </c>
    </row>
    <row r="312" spans="1:4">
      <c r="A312" t="s">
        <v>335</v>
      </c>
      <c r="B312">
        <v>0.156576</v>
      </c>
      <c r="C312">
        <v>0</v>
      </c>
      <c r="D312">
        <v>0.156576</v>
      </c>
    </row>
    <row r="313" spans="1:4">
      <c r="A313" t="s">
        <v>336</v>
      </c>
      <c r="B313">
        <v>0.161702</v>
      </c>
      <c r="C313">
        <v>0</v>
      </c>
      <c r="D313">
        <v>0.161702</v>
      </c>
    </row>
    <row r="314" spans="1:4">
      <c r="A314" t="s">
        <v>337</v>
      </c>
      <c r="B314">
        <v>236.5774</v>
      </c>
      <c r="C314">
        <v>12.127996</v>
      </c>
      <c r="D314">
        <v>224.449404</v>
      </c>
    </row>
    <row r="315" spans="1:4">
      <c r="A315" t="s">
        <v>338</v>
      </c>
      <c r="B315">
        <v>60.036178</v>
      </c>
      <c r="C315">
        <v>0</v>
      </c>
      <c r="D315">
        <v>60.036178</v>
      </c>
    </row>
    <row r="316" spans="1:4">
      <c r="A316" t="s">
        <v>339</v>
      </c>
      <c r="B316">
        <v>4.140554</v>
      </c>
      <c r="C316">
        <v>1.631388</v>
      </c>
      <c r="D316">
        <v>2.509166</v>
      </c>
    </row>
    <row r="317" spans="1:4">
      <c r="A317" t="s">
        <v>340</v>
      </c>
      <c r="B317">
        <v>6.18789</v>
      </c>
      <c r="C317">
        <v>1.978648</v>
      </c>
      <c r="D317">
        <v>4.209242</v>
      </c>
    </row>
    <row r="318" spans="1:4">
      <c r="A318" t="s">
        <v>341</v>
      </c>
      <c r="B318">
        <v>0.331038</v>
      </c>
      <c r="C318">
        <v>0</v>
      </c>
      <c r="D318">
        <v>0.331038</v>
      </c>
    </row>
    <row r="319" spans="1:4">
      <c r="A319" t="s">
        <v>342</v>
      </c>
      <c r="B319">
        <v>0.058716</v>
      </c>
      <c r="C319">
        <v>0</v>
      </c>
      <c r="D319">
        <v>0.058716</v>
      </c>
    </row>
    <row r="320" spans="1:4">
      <c r="A320" t="s">
        <v>343</v>
      </c>
      <c r="B320">
        <v>1.984848</v>
      </c>
      <c r="C320">
        <v>1.973664</v>
      </c>
      <c r="D320">
        <v>0.011184</v>
      </c>
    </row>
    <row r="321" spans="1:4">
      <c r="A321" t="s">
        <v>344</v>
      </c>
      <c r="B321">
        <v>0.015844</v>
      </c>
      <c r="C321">
        <v>0</v>
      </c>
      <c r="D321">
        <v>0.015844</v>
      </c>
    </row>
    <row r="322" spans="1:4">
      <c r="A322" t="s">
        <v>345</v>
      </c>
      <c r="B322">
        <v>28.663194</v>
      </c>
      <c r="C322">
        <v>0</v>
      </c>
      <c r="D322">
        <v>28.663194</v>
      </c>
    </row>
    <row r="323" spans="1:4">
      <c r="A323" t="s">
        <v>346</v>
      </c>
      <c r="B323">
        <v>60.542195</v>
      </c>
      <c r="C323">
        <v>7.495303</v>
      </c>
      <c r="D323">
        <v>53.046892</v>
      </c>
    </row>
    <row r="324" spans="1:4">
      <c r="A324" t="s">
        <v>347</v>
      </c>
      <c r="B324">
        <v>0.382586</v>
      </c>
      <c r="C324">
        <v>0</v>
      </c>
      <c r="D324">
        <v>0.382586</v>
      </c>
    </row>
    <row r="325" spans="1:4">
      <c r="A325" t="s">
        <v>348</v>
      </c>
      <c r="B325">
        <v>13.25559</v>
      </c>
      <c r="C325">
        <v>2.98262</v>
      </c>
      <c r="D325">
        <v>10.27297</v>
      </c>
    </row>
    <row r="326" spans="1:4">
      <c r="A326" t="s">
        <v>349</v>
      </c>
      <c r="B326">
        <v>128.736376</v>
      </c>
      <c r="C326">
        <v>0</v>
      </c>
      <c r="D326">
        <v>128.736376</v>
      </c>
    </row>
    <row r="327" spans="1:4">
      <c r="A327" t="s">
        <v>350</v>
      </c>
      <c r="B327">
        <v>10.090764</v>
      </c>
      <c r="C327">
        <v>0</v>
      </c>
      <c r="D327">
        <v>10.090764</v>
      </c>
    </row>
    <row r="328" spans="1:4">
      <c r="A328" t="s">
        <v>351</v>
      </c>
      <c r="B328">
        <v>354.73564</v>
      </c>
      <c r="C328">
        <v>4.684204</v>
      </c>
      <c r="D328">
        <v>350.051436</v>
      </c>
    </row>
    <row r="329" spans="1:4">
      <c r="A329" t="s">
        <v>352</v>
      </c>
      <c r="B329">
        <v>4.479192</v>
      </c>
      <c r="C329">
        <v>0</v>
      </c>
      <c r="D329">
        <v>4.479192</v>
      </c>
    </row>
    <row r="330" spans="1:4">
      <c r="A330" t="s">
        <v>353</v>
      </c>
      <c r="B330">
        <v>13.069966</v>
      </c>
      <c r="C330">
        <v>0</v>
      </c>
      <c r="D330">
        <v>13.069966</v>
      </c>
    </row>
    <row r="331" spans="1:4">
      <c r="A331" t="s">
        <v>354</v>
      </c>
      <c r="B331">
        <v>0.00932</v>
      </c>
      <c r="C331">
        <v>0.00932</v>
      </c>
      <c r="D331">
        <v>0</v>
      </c>
    </row>
    <row r="332" spans="1:4">
      <c r="A332" t="s">
        <v>355</v>
      </c>
      <c r="B332">
        <v>42.142598</v>
      </c>
      <c r="C332">
        <v>1.9953</v>
      </c>
      <c r="D332">
        <v>40.147298</v>
      </c>
    </row>
    <row r="333" spans="1:4">
      <c r="A333" t="s">
        <v>356</v>
      </c>
      <c r="B333">
        <v>80.648256</v>
      </c>
      <c r="C333">
        <v>0.0694</v>
      </c>
      <c r="D333">
        <v>80.578856</v>
      </c>
    </row>
    <row r="334" spans="1:4">
      <c r="A334" t="s">
        <v>357</v>
      </c>
      <c r="B334">
        <v>0.022372</v>
      </c>
      <c r="C334">
        <v>0.022372</v>
      </c>
      <c r="D334">
        <v>0</v>
      </c>
    </row>
    <row r="335" spans="1:4">
      <c r="A335" t="s">
        <v>358</v>
      </c>
      <c r="B335">
        <v>6.61487</v>
      </c>
      <c r="C335">
        <v>0</v>
      </c>
      <c r="D335">
        <v>6.61487</v>
      </c>
    </row>
    <row r="336" spans="1:4">
      <c r="A336" t="s">
        <v>359</v>
      </c>
      <c r="B336">
        <v>0.047532</v>
      </c>
      <c r="C336">
        <v>0</v>
      </c>
      <c r="D336">
        <v>0.047532</v>
      </c>
    </row>
    <row r="337" spans="1:4">
      <c r="A337" t="s">
        <v>360</v>
      </c>
      <c r="B337">
        <v>10.191246</v>
      </c>
      <c r="C337">
        <v>10</v>
      </c>
      <c r="D337">
        <v>0.191246</v>
      </c>
    </row>
    <row r="338" spans="1:4">
      <c r="A338" t="s">
        <v>361</v>
      </c>
      <c r="B338">
        <v>119.608073</v>
      </c>
      <c r="C338">
        <v>4.357419</v>
      </c>
      <c r="D338">
        <v>115.250654</v>
      </c>
    </row>
    <row r="339" spans="1:4">
      <c r="A339" t="s">
        <v>362</v>
      </c>
      <c r="B339">
        <v>0.254902</v>
      </c>
      <c r="C339">
        <v>0</v>
      </c>
      <c r="D339">
        <v>0.254902</v>
      </c>
    </row>
    <row r="340" spans="1:4">
      <c r="A340" t="s">
        <v>363</v>
      </c>
      <c r="B340">
        <v>164.817408</v>
      </c>
      <c r="C340">
        <v>151.206672</v>
      </c>
      <c r="D340">
        <v>13.610736</v>
      </c>
    </row>
    <row r="341" spans="1:4">
      <c r="A341" t="s">
        <v>364</v>
      </c>
      <c r="B341">
        <v>0.17475</v>
      </c>
      <c r="C341">
        <v>0</v>
      </c>
      <c r="D341">
        <v>0.17475</v>
      </c>
    </row>
    <row r="342" spans="1:4">
      <c r="A342" t="s">
        <v>365</v>
      </c>
      <c r="B342">
        <v>0.18407</v>
      </c>
      <c r="C342">
        <v>0</v>
      </c>
      <c r="D342">
        <v>0.18407</v>
      </c>
    </row>
    <row r="343" spans="1:4">
      <c r="A343" t="s">
        <v>366</v>
      </c>
      <c r="B343">
        <v>1.441804</v>
      </c>
      <c r="C343">
        <v>0</v>
      </c>
      <c r="D343">
        <v>1.441804</v>
      </c>
    </row>
    <row r="344" spans="1:4">
      <c r="A344" t="s">
        <v>367</v>
      </c>
      <c r="B344">
        <v>3.349608</v>
      </c>
      <c r="C344">
        <v>0</v>
      </c>
      <c r="D344">
        <v>3.349608</v>
      </c>
    </row>
    <row r="345" spans="1:4">
      <c r="A345" t="s">
        <v>368</v>
      </c>
      <c r="B345">
        <v>246.471588</v>
      </c>
      <c r="C345">
        <v>0</v>
      </c>
      <c r="D345">
        <v>246.471588</v>
      </c>
    </row>
    <row r="346" spans="1:4">
      <c r="A346" t="s">
        <v>369</v>
      </c>
      <c r="B346">
        <v>10.317426</v>
      </c>
      <c r="C346">
        <v>2.523576</v>
      </c>
      <c r="D346">
        <v>7.79385</v>
      </c>
    </row>
    <row r="347" spans="1:4">
      <c r="A347" t="s">
        <v>370</v>
      </c>
      <c r="B347">
        <v>3539.835396</v>
      </c>
      <c r="C347">
        <v>0</v>
      </c>
      <c r="D347">
        <v>3539.835396</v>
      </c>
    </row>
    <row r="348" spans="1:4">
      <c r="A348" t="s">
        <v>371</v>
      </c>
      <c r="B348">
        <v>0.158906</v>
      </c>
      <c r="C348">
        <v>0</v>
      </c>
      <c r="D348">
        <v>0.158906</v>
      </c>
    </row>
    <row r="349" spans="1:4">
      <c r="A349" t="s">
        <v>372</v>
      </c>
      <c r="B349">
        <v>1.9805</v>
      </c>
      <c r="C349">
        <v>0</v>
      </c>
      <c r="D349">
        <v>1.9805</v>
      </c>
    </row>
    <row r="350" spans="1:4">
      <c r="A350" t="s">
        <v>373</v>
      </c>
      <c r="B350">
        <v>1.5666</v>
      </c>
      <c r="C350">
        <v>1.559992</v>
      </c>
      <c r="D350">
        <v>0.006608</v>
      </c>
    </row>
    <row r="351" spans="1:4">
      <c r="A351" t="s">
        <v>374</v>
      </c>
      <c r="B351">
        <v>0.600674</v>
      </c>
      <c r="C351">
        <v>0</v>
      </c>
      <c r="D351">
        <v>0.600674</v>
      </c>
    </row>
    <row r="352" spans="1:4">
      <c r="A352" t="s">
        <v>375</v>
      </c>
      <c r="B352">
        <v>4.049084</v>
      </c>
      <c r="C352">
        <v>2.583048</v>
      </c>
      <c r="D352">
        <v>1.466036</v>
      </c>
    </row>
    <row r="353" spans="1:4">
      <c r="A353" t="s">
        <v>376</v>
      </c>
      <c r="B353">
        <v>0.066172</v>
      </c>
      <c r="C353">
        <v>0</v>
      </c>
      <c r="D353">
        <v>0.066172</v>
      </c>
    </row>
    <row r="354" spans="1:4">
      <c r="A354" t="s">
        <v>377</v>
      </c>
      <c r="B354">
        <v>0.141198</v>
      </c>
      <c r="C354">
        <v>0</v>
      </c>
      <c r="D354">
        <v>0.141198</v>
      </c>
    </row>
    <row r="355" spans="1:4">
      <c r="A355" t="s">
        <v>378</v>
      </c>
      <c r="B355">
        <v>4.860846</v>
      </c>
      <c r="C355">
        <v>0</v>
      </c>
      <c r="D355">
        <v>4.860846</v>
      </c>
    </row>
    <row r="356" spans="1:4">
      <c r="A356" t="s">
        <v>379</v>
      </c>
      <c r="B356">
        <v>84.927698</v>
      </c>
      <c r="C356">
        <v>84.927698</v>
      </c>
      <c r="D356">
        <v>0</v>
      </c>
    </row>
    <row r="357" spans="1:4">
      <c r="A357" t="s">
        <v>380</v>
      </c>
      <c r="B357">
        <v>41.928654</v>
      </c>
      <c r="C357">
        <v>0</v>
      </c>
      <c r="D357">
        <v>41.928654</v>
      </c>
    </row>
    <row r="358" spans="1:4">
      <c r="A358" t="s">
        <v>381</v>
      </c>
      <c r="B358">
        <v>1.030792</v>
      </c>
      <c r="C358">
        <v>0</v>
      </c>
      <c r="D358">
        <v>1.030792</v>
      </c>
    </row>
    <row r="359" spans="1:4">
      <c r="A359" t="s">
        <v>382</v>
      </c>
      <c r="B359">
        <v>0.055118</v>
      </c>
      <c r="C359">
        <v>0</v>
      </c>
      <c r="D359">
        <v>0.055118</v>
      </c>
    </row>
    <row r="360" spans="1:4">
      <c r="A360" t="s">
        <v>383</v>
      </c>
      <c r="B360">
        <v>0.262358</v>
      </c>
      <c r="C360">
        <v>0</v>
      </c>
      <c r="D360">
        <v>0.262358</v>
      </c>
    </row>
    <row r="361" spans="1:4">
      <c r="A361" t="s">
        <v>384</v>
      </c>
      <c r="B361">
        <v>223.691004</v>
      </c>
      <c r="C361">
        <v>8.501004</v>
      </c>
      <c r="D361">
        <v>215.19</v>
      </c>
    </row>
    <row r="362" spans="1:4">
      <c r="A362" t="s">
        <v>385</v>
      </c>
      <c r="B362">
        <v>136.131332</v>
      </c>
      <c r="C362">
        <v>135.962941</v>
      </c>
      <c r="D362">
        <v>0.168391</v>
      </c>
    </row>
    <row r="363" spans="1:4">
      <c r="A363" t="s">
        <v>386</v>
      </c>
      <c r="B363">
        <v>0.177546</v>
      </c>
      <c r="C363">
        <v>0</v>
      </c>
      <c r="D363">
        <v>0.177546</v>
      </c>
    </row>
    <row r="364" spans="1:4">
      <c r="A364" t="s">
        <v>387</v>
      </c>
      <c r="B364">
        <v>31.731678</v>
      </c>
      <c r="C364">
        <v>0</v>
      </c>
      <c r="D364">
        <v>31.731678</v>
      </c>
    </row>
    <row r="365" spans="1:4">
      <c r="A365" t="s">
        <v>388</v>
      </c>
      <c r="B365">
        <v>2430.086197</v>
      </c>
      <c r="C365">
        <v>2429.643151</v>
      </c>
      <c r="D365">
        <v>0.443046</v>
      </c>
    </row>
    <row r="366" spans="1:4">
      <c r="A366" t="s">
        <v>390</v>
      </c>
      <c r="B366">
        <v>5.78449</v>
      </c>
      <c r="C366">
        <v>5.78449</v>
      </c>
      <c r="D366">
        <v>0</v>
      </c>
    </row>
    <row r="367" spans="1:4">
      <c r="A367" t="s">
        <v>391</v>
      </c>
      <c r="B367">
        <v>0.363946</v>
      </c>
      <c r="C367">
        <v>0</v>
      </c>
      <c r="D367">
        <v>0.363946</v>
      </c>
    </row>
    <row r="368" spans="1:4">
      <c r="A368" t="s">
        <v>392</v>
      </c>
      <c r="B368">
        <v>1.88264</v>
      </c>
      <c r="C368">
        <v>1.88264</v>
      </c>
      <c r="D368">
        <v>0</v>
      </c>
    </row>
    <row r="369" spans="1:4">
      <c r="A369" t="s">
        <v>393</v>
      </c>
      <c r="B369">
        <v>2.553226</v>
      </c>
      <c r="C369">
        <v>2.553226</v>
      </c>
      <c r="D369">
        <v>0</v>
      </c>
    </row>
    <row r="370" spans="1:4">
      <c r="A370" t="s">
        <v>394</v>
      </c>
      <c r="B370">
        <v>14.883365</v>
      </c>
      <c r="C370">
        <v>3.407183</v>
      </c>
      <c r="D370">
        <v>11.476182</v>
      </c>
    </row>
    <row r="371" spans="1:4">
      <c r="A371" t="s">
        <v>395</v>
      </c>
      <c r="B371">
        <v>0.02563</v>
      </c>
      <c r="C371">
        <v>0</v>
      </c>
      <c r="D371">
        <v>0.02563</v>
      </c>
    </row>
    <row r="372" spans="1:4">
      <c r="A372" t="s">
        <v>396</v>
      </c>
      <c r="B372">
        <v>72.169998</v>
      </c>
      <c r="C372">
        <v>2.054626</v>
      </c>
      <c r="D372">
        <v>70.115372</v>
      </c>
    </row>
    <row r="373" spans="1:4">
      <c r="A373" t="s">
        <v>397</v>
      </c>
      <c r="B373">
        <v>30.03603</v>
      </c>
      <c r="C373">
        <v>0</v>
      </c>
      <c r="D373">
        <v>30.03603</v>
      </c>
    </row>
    <row r="374" spans="1:4">
      <c r="A374" t="s">
        <v>398</v>
      </c>
      <c r="B374">
        <v>50.082884</v>
      </c>
      <c r="C374">
        <v>0</v>
      </c>
      <c r="D374">
        <v>50.082884</v>
      </c>
    </row>
    <row r="375" spans="1:4">
      <c r="A375" t="s">
        <v>399</v>
      </c>
      <c r="B375">
        <v>1.22682</v>
      </c>
      <c r="C375">
        <v>0</v>
      </c>
      <c r="D375">
        <v>1.22682</v>
      </c>
    </row>
    <row r="376" spans="1:4">
      <c r="A376" t="s">
        <v>400</v>
      </c>
      <c r="B376">
        <v>0.099724</v>
      </c>
      <c r="C376">
        <v>0</v>
      </c>
      <c r="D376">
        <v>0.099724</v>
      </c>
    </row>
    <row r="377" spans="1:4">
      <c r="A377" t="s">
        <v>401</v>
      </c>
      <c r="B377">
        <v>0.205948</v>
      </c>
      <c r="C377">
        <v>0</v>
      </c>
      <c r="D377">
        <v>0.205948</v>
      </c>
    </row>
    <row r="378" spans="1:4">
      <c r="A378" t="s">
        <v>402</v>
      </c>
      <c r="B378">
        <v>8.464101</v>
      </c>
      <c r="C378">
        <v>2.023087</v>
      </c>
      <c r="D378">
        <v>6.441014</v>
      </c>
    </row>
    <row r="379" spans="1:4">
      <c r="A379" t="s">
        <v>403</v>
      </c>
      <c r="B379">
        <v>10.076233</v>
      </c>
      <c r="C379">
        <v>10.076233</v>
      </c>
      <c r="D379">
        <v>0</v>
      </c>
    </row>
    <row r="380" spans="1:4">
      <c r="A380" t="s">
        <v>405</v>
      </c>
      <c r="B380">
        <v>175.120914</v>
      </c>
      <c r="C380">
        <v>13.968506</v>
      </c>
      <c r="D380">
        <v>161.152408</v>
      </c>
    </row>
    <row r="381" spans="1:4">
      <c r="A381" t="s">
        <v>406</v>
      </c>
      <c r="B381">
        <v>0.151916</v>
      </c>
      <c r="C381">
        <v>0</v>
      </c>
      <c r="D381">
        <v>0.151916</v>
      </c>
    </row>
    <row r="382" spans="1:4">
      <c r="A382" t="s">
        <v>407</v>
      </c>
      <c r="B382">
        <v>5.545866</v>
      </c>
      <c r="C382">
        <v>0</v>
      </c>
      <c r="D382">
        <v>5.545866</v>
      </c>
    </row>
    <row r="383" spans="1:4">
      <c r="A383" t="s">
        <v>408</v>
      </c>
      <c r="B383">
        <v>0.99724</v>
      </c>
      <c r="C383">
        <v>0</v>
      </c>
      <c r="D383">
        <v>0.99724</v>
      </c>
    </row>
    <row r="384" spans="1:4">
      <c r="A384" t="s">
        <v>409</v>
      </c>
      <c r="B384">
        <v>0.011592</v>
      </c>
      <c r="C384">
        <v>0</v>
      </c>
      <c r="D384">
        <v>0.011592</v>
      </c>
    </row>
    <row r="385" spans="1:4">
      <c r="A385" t="s">
        <v>410</v>
      </c>
      <c r="B385">
        <v>0.23596</v>
      </c>
      <c r="C385">
        <v>0</v>
      </c>
      <c r="D385">
        <v>0.23596</v>
      </c>
    </row>
    <row r="386" spans="1:4">
      <c r="A386" t="s">
        <v>411</v>
      </c>
      <c r="B386">
        <v>4.943794</v>
      </c>
      <c r="C386">
        <v>0</v>
      </c>
      <c r="D386">
        <v>4.943794</v>
      </c>
    </row>
    <row r="387" spans="1:4">
      <c r="A387" t="s">
        <v>412</v>
      </c>
      <c r="B387">
        <v>0.488061</v>
      </c>
      <c r="C387">
        <v>0</v>
      </c>
      <c r="D387">
        <v>0.488061</v>
      </c>
    </row>
    <row r="388" spans="1:4">
      <c r="A388" t="s">
        <v>413</v>
      </c>
      <c r="B388">
        <v>4.577984</v>
      </c>
      <c r="C388">
        <v>0</v>
      </c>
      <c r="D388">
        <v>4.577984</v>
      </c>
    </row>
    <row r="389" spans="1:4">
      <c r="A389" t="s">
        <v>414</v>
      </c>
      <c r="B389">
        <v>32.323044</v>
      </c>
      <c r="C389">
        <v>1.09452</v>
      </c>
      <c r="D389">
        <v>31.228524</v>
      </c>
    </row>
    <row r="390" spans="1:4">
      <c r="A390" t="s">
        <v>415</v>
      </c>
      <c r="B390">
        <v>0.080152</v>
      </c>
      <c r="C390">
        <v>0</v>
      </c>
      <c r="D390">
        <v>0.080152</v>
      </c>
    </row>
    <row r="391" spans="1:4">
      <c r="A391" t="s">
        <v>416</v>
      </c>
      <c r="B391">
        <v>7.702048</v>
      </c>
      <c r="C391">
        <v>0</v>
      </c>
      <c r="D391">
        <v>7.702048</v>
      </c>
    </row>
    <row r="392" spans="1:4">
      <c r="A392" t="s">
        <v>417</v>
      </c>
      <c r="B392">
        <v>0.03536</v>
      </c>
      <c r="C392">
        <v>0.03536</v>
      </c>
      <c r="D392">
        <v>0</v>
      </c>
    </row>
    <row r="393" spans="1:4">
      <c r="A393" t="s">
        <v>419</v>
      </c>
      <c r="B393">
        <v>14.611774</v>
      </c>
      <c r="C393">
        <v>14.611774</v>
      </c>
      <c r="D393">
        <v>0</v>
      </c>
    </row>
    <row r="394" spans="1:4">
      <c r="A394" t="s">
        <v>420</v>
      </c>
      <c r="B394">
        <v>20.258664</v>
      </c>
      <c r="C394">
        <v>10</v>
      </c>
      <c r="D394">
        <v>10.258664</v>
      </c>
    </row>
    <row r="395" spans="1:4">
      <c r="A395" t="s">
        <v>421</v>
      </c>
      <c r="B395">
        <v>9.087012</v>
      </c>
      <c r="C395">
        <v>0</v>
      </c>
      <c r="D395">
        <v>9.087012</v>
      </c>
    </row>
    <row r="396" spans="1:4">
      <c r="A396" t="s">
        <v>422</v>
      </c>
      <c r="B396">
        <v>0.260028</v>
      </c>
      <c r="C396">
        <v>0</v>
      </c>
      <c r="D396">
        <v>0.260028</v>
      </c>
    </row>
    <row r="397" spans="1:4">
      <c r="A397" t="s">
        <v>423</v>
      </c>
      <c r="B397">
        <v>0.206812</v>
      </c>
      <c r="C397">
        <v>0</v>
      </c>
      <c r="D397">
        <v>0.206812</v>
      </c>
    </row>
    <row r="398" spans="1:4">
      <c r="A398" t="s">
        <v>424</v>
      </c>
      <c r="B398">
        <v>21.33783</v>
      </c>
      <c r="C398">
        <v>1.2276</v>
      </c>
      <c r="D398">
        <v>20.11023</v>
      </c>
    </row>
    <row r="399" spans="1:4">
      <c r="A399" t="s">
        <v>425</v>
      </c>
      <c r="B399">
        <v>2.118417</v>
      </c>
      <c r="C399">
        <v>2.118417</v>
      </c>
      <c r="D399">
        <v>0</v>
      </c>
    </row>
    <row r="400" spans="1:4">
      <c r="A400" t="s">
        <v>426</v>
      </c>
      <c r="B400">
        <v>0.17708</v>
      </c>
      <c r="C400">
        <v>0</v>
      </c>
      <c r="D400">
        <v>0.17708</v>
      </c>
    </row>
    <row r="401" spans="1:4">
      <c r="A401" t="s">
        <v>427</v>
      </c>
      <c r="B401">
        <v>5.445206</v>
      </c>
      <c r="C401">
        <v>0.149116</v>
      </c>
      <c r="D401">
        <v>5.29609</v>
      </c>
    </row>
    <row r="402" spans="1:4">
      <c r="A402" t="s">
        <v>428</v>
      </c>
      <c r="B402">
        <v>0.164498</v>
      </c>
      <c r="C402">
        <v>0</v>
      </c>
      <c r="D402">
        <v>0.164498</v>
      </c>
    </row>
    <row r="403" spans="1:4">
      <c r="A403" t="s">
        <v>429</v>
      </c>
      <c r="B403">
        <v>160.868792</v>
      </c>
      <c r="C403">
        <v>0</v>
      </c>
      <c r="D403">
        <v>160.868792</v>
      </c>
    </row>
    <row r="404" spans="1:4">
      <c r="A404" t="s">
        <v>430</v>
      </c>
      <c r="B404">
        <v>37.113466</v>
      </c>
      <c r="C404">
        <v>1.59448</v>
      </c>
      <c r="D404">
        <v>35.518986</v>
      </c>
    </row>
    <row r="405" spans="1:4">
      <c r="A405" t="s">
        <v>431</v>
      </c>
      <c r="B405">
        <v>0.154712</v>
      </c>
      <c r="C405">
        <v>0</v>
      </c>
      <c r="D405">
        <v>0.154712</v>
      </c>
    </row>
    <row r="406" spans="1:4">
      <c r="A406" t="s">
        <v>432</v>
      </c>
      <c r="B406">
        <v>7.013664</v>
      </c>
      <c r="C406">
        <v>0</v>
      </c>
      <c r="D406">
        <v>7.013664</v>
      </c>
    </row>
    <row r="407" spans="1:4">
      <c r="A407" t="s">
        <v>433</v>
      </c>
      <c r="B407">
        <v>31.97198</v>
      </c>
      <c r="C407">
        <v>1.815722</v>
      </c>
      <c r="D407">
        <v>30.156258</v>
      </c>
    </row>
    <row r="408" spans="1:4">
      <c r="A408" t="s">
        <v>434</v>
      </c>
      <c r="B408">
        <v>1.09743</v>
      </c>
      <c r="C408">
        <v>0</v>
      </c>
      <c r="D408">
        <v>1.09743</v>
      </c>
    </row>
    <row r="409" spans="1:4">
      <c r="A409" t="s">
        <v>435</v>
      </c>
      <c r="B409">
        <v>346.7579</v>
      </c>
      <c r="C409">
        <v>8.78268</v>
      </c>
      <c r="D409">
        <v>337.97522</v>
      </c>
    </row>
    <row r="410" spans="1:4">
      <c r="A410" t="s">
        <v>436</v>
      </c>
      <c r="B410">
        <v>8.54751</v>
      </c>
      <c r="C410">
        <v>8.54751</v>
      </c>
      <c r="D410">
        <v>0</v>
      </c>
    </row>
    <row r="411" spans="1:4">
      <c r="A411" t="s">
        <v>437</v>
      </c>
      <c r="B411">
        <v>60.099088</v>
      </c>
      <c r="C411">
        <v>0</v>
      </c>
      <c r="D411">
        <v>60.099088</v>
      </c>
    </row>
    <row r="412" spans="1:4">
      <c r="A412" t="s">
        <v>438</v>
      </c>
      <c r="B412">
        <v>0.166362</v>
      </c>
      <c r="C412">
        <v>0</v>
      </c>
      <c r="D412">
        <v>0.166362</v>
      </c>
    </row>
    <row r="413" spans="1:4">
      <c r="A413" t="s">
        <v>439</v>
      </c>
      <c r="B413">
        <v>39.084564</v>
      </c>
      <c r="C413">
        <v>0.31212</v>
      </c>
      <c r="D413">
        <v>38.772444</v>
      </c>
    </row>
    <row r="414" spans="1:4">
      <c r="A414" t="s">
        <v>440</v>
      </c>
      <c r="B414">
        <v>0.331792</v>
      </c>
      <c r="C414">
        <v>0</v>
      </c>
      <c r="D414">
        <v>0.331792</v>
      </c>
    </row>
    <row r="415" spans="1:4">
      <c r="A415" t="s">
        <v>441</v>
      </c>
      <c r="B415">
        <v>0.1944</v>
      </c>
      <c r="C415">
        <v>0</v>
      </c>
      <c r="D415">
        <v>0.1944</v>
      </c>
    </row>
    <row r="416" spans="1:4">
      <c r="A416" t="s">
        <v>442</v>
      </c>
      <c r="B416">
        <v>15.580211</v>
      </c>
      <c r="C416">
        <v>0.021285</v>
      </c>
      <c r="D416">
        <v>15.558926</v>
      </c>
    </row>
    <row r="417" spans="1:4">
      <c r="A417" t="s">
        <v>443</v>
      </c>
      <c r="B417">
        <v>1.010072</v>
      </c>
      <c r="C417">
        <v>0</v>
      </c>
      <c r="D417">
        <v>1.010072</v>
      </c>
    </row>
    <row r="418" spans="1:4">
      <c r="A418" t="s">
        <v>444</v>
      </c>
      <c r="B418">
        <v>14.811656</v>
      </c>
      <c r="C418">
        <v>0</v>
      </c>
      <c r="D418">
        <v>14.811656</v>
      </c>
    </row>
    <row r="419" spans="1:4">
      <c r="A419" t="s">
        <v>445</v>
      </c>
      <c r="B419">
        <v>8.525389</v>
      </c>
      <c r="C419">
        <v>8.525389</v>
      </c>
      <c r="D419">
        <v>0</v>
      </c>
    </row>
    <row r="420" spans="1:4">
      <c r="A420" t="s">
        <v>446</v>
      </c>
      <c r="B420">
        <v>1.433804</v>
      </c>
      <c r="C420">
        <v>1.433804</v>
      </c>
      <c r="D420">
        <v>0</v>
      </c>
    </row>
    <row r="421" spans="1:4">
      <c r="A421" t="s">
        <v>447</v>
      </c>
      <c r="B421">
        <v>0.136538</v>
      </c>
      <c r="C421">
        <v>0</v>
      </c>
      <c r="D421">
        <v>0.136538</v>
      </c>
    </row>
    <row r="422" spans="1:4">
      <c r="A422" t="s">
        <v>448</v>
      </c>
      <c r="B422">
        <v>11.448852</v>
      </c>
      <c r="C422">
        <v>0</v>
      </c>
      <c r="D422">
        <v>11.448852</v>
      </c>
    </row>
    <row r="423" spans="1:4">
      <c r="A423" t="s">
        <v>449</v>
      </c>
      <c r="B423">
        <v>5.919624</v>
      </c>
      <c r="C423">
        <v>5.919624</v>
      </c>
      <c r="D423">
        <v>0</v>
      </c>
    </row>
    <row r="424" spans="1:4">
      <c r="A424" t="s">
        <v>450</v>
      </c>
      <c r="B424">
        <v>54.038824</v>
      </c>
      <c r="C424">
        <v>54.038824</v>
      </c>
      <c r="D424">
        <v>0</v>
      </c>
    </row>
    <row r="425" spans="1:4">
      <c r="A425" t="s">
        <v>451</v>
      </c>
      <c r="B425">
        <v>0.888196</v>
      </c>
      <c r="C425">
        <v>0</v>
      </c>
      <c r="D425">
        <v>0.888196</v>
      </c>
    </row>
    <row r="426" spans="1:4">
      <c r="A426" t="s">
        <v>452</v>
      </c>
      <c r="B426">
        <v>6.128832</v>
      </c>
      <c r="C426">
        <v>6.128832</v>
      </c>
      <c r="D426">
        <v>0</v>
      </c>
    </row>
    <row r="427" spans="1:4">
      <c r="A427" t="s">
        <v>453</v>
      </c>
      <c r="B427">
        <v>0.020504</v>
      </c>
      <c r="C427">
        <v>0</v>
      </c>
      <c r="D427">
        <v>0.020504</v>
      </c>
    </row>
    <row r="428" spans="1:4">
      <c r="A428" t="s">
        <v>454</v>
      </c>
      <c r="B428">
        <v>0.61341</v>
      </c>
      <c r="C428">
        <v>0</v>
      </c>
      <c r="D428">
        <v>0.61341</v>
      </c>
    </row>
    <row r="429" spans="1:4">
      <c r="A429" t="s">
        <v>455</v>
      </c>
      <c r="B429">
        <v>8.225832</v>
      </c>
      <c r="C429">
        <v>8.225832</v>
      </c>
      <c r="D429">
        <v>0</v>
      </c>
    </row>
    <row r="430" spans="1:4">
      <c r="A430" t="s">
        <v>456</v>
      </c>
      <c r="B430">
        <v>44.12554</v>
      </c>
      <c r="C430">
        <v>0</v>
      </c>
      <c r="D430">
        <v>44.12554</v>
      </c>
    </row>
    <row r="431" spans="1:4">
      <c r="A431" t="s">
        <v>457</v>
      </c>
      <c r="B431">
        <v>0.163566</v>
      </c>
      <c r="C431">
        <v>0</v>
      </c>
      <c r="D431">
        <v>0.163566</v>
      </c>
    </row>
    <row r="432" spans="1:4">
      <c r="A432" t="s">
        <v>458</v>
      </c>
      <c r="B432">
        <v>10.095424</v>
      </c>
      <c r="C432">
        <v>10</v>
      </c>
      <c r="D432">
        <v>0.095424</v>
      </c>
    </row>
    <row r="433" spans="1:4">
      <c r="A433" t="s">
        <v>459</v>
      </c>
      <c r="B433">
        <v>0.026228</v>
      </c>
      <c r="C433">
        <v>0</v>
      </c>
      <c r="D433">
        <v>0.026228</v>
      </c>
    </row>
    <row r="434" spans="1:4">
      <c r="A434" t="s">
        <v>460</v>
      </c>
      <c r="B434">
        <v>0.1944</v>
      </c>
      <c r="C434">
        <v>0.138105</v>
      </c>
      <c r="D434">
        <v>0.056295</v>
      </c>
    </row>
    <row r="435" spans="1:4">
      <c r="A435" t="s">
        <v>461</v>
      </c>
      <c r="B435">
        <v>4.032</v>
      </c>
      <c r="C435">
        <v>0</v>
      </c>
      <c r="D435">
        <v>4.032</v>
      </c>
    </row>
    <row r="436" spans="1:4">
      <c r="A436" t="s">
        <v>462</v>
      </c>
      <c r="B436">
        <v>3.8268</v>
      </c>
      <c r="C436">
        <v>3.8268</v>
      </c>
      <c r="D436">
        <v>0</v>
      </c>
    </row>
    <row r="437" spans="1:4">
      <c r="A437" t="s">
        <v>463</v>
      </c>
      <c r="B437">
        <v>20.468056</v>
      </c>
      <c r="C437">
        <v>9.048116</v>
      </c>
      <c r="D437">
        <v>11.41994</v>
      </c>
    </row>
    <row r="438" spans="1:4">
      <c r="A438" t="s">
        <v>464</v>
      </c>
      <c r="B438">
        <v>0.3888</v>
      </c>
      <c r="C438">
        <v>0</v>
      </c>
      <c r="D438">
        <v>0.3888</v>
      </c>
    </row>
    <row r="439" spans="1:4">
      <c r="A439" t="s">
        <v>465</v>
      </c>
      <c r="B439">
        <v>0.12166</v>
      </c>
      <c r="C439">
        <v>0</v>
      </c>
      <c r="D439">
        <v>0.12166</v>
      </c>
    </row>
    <row r="440" spans="1:4">
      <c r="A440" t="s">
        <v>466</v>
      </c>
      <c r="B440">
        <v>9.7236</v>
      </c>
      <c r="C440">
        <v>0</v>
      </c>
      <c r="D440">
        <v>9.7236</v>
      </c>
    </row>
    <row r="441" spans="1:4">
      <c r="A441" t="s">
        <v>467</v>
      </c>
      <c r="B441">
        <v>0.138402</v>
      </c>
      <c r="C441">
        <v>0</v>
      </c>
      <c r="D441">
        <v>0.138402</v>
      </c>
    </row>
    <row r="442" spans="1:4">
      <c r="A442" t="s">
        <v>468</v>
      </c>
      <c r="B442">
        <v>10.098686</v>
      </c>
      <c r="C442">
        <v>0</v>
      </c>
      <c r="D442">
        <v>10.098686</v>
      </c>
    </row>
    <row r="443" spans="1:4">
      <c r="A443" t="s">
        <v>469</v>
      </c>
      <c r="B443">
        <v>17.148524</v>
      </c>
      <c r="C443">
        <v>17.148524</v>
      </c>
      <c r="D443">
        <v>0</v>
      </c>
    </row>
    <row r="444" spans="1:4">
      <c r="A444" t="s">
        <v>470</v>
      </c>
      <c r="B444">
        <v>2.4912</v>
      </c>
      <c r="C444">
        <v>0</v>
      </c>
      <c r="D444">
        <v>2.4912</v>
      </c>
    </row>
    <row r="445" spans="1:4">
      <c r="A445" t="s">
        <v>471</v>
      </c>
      <c r="B445">
        <v>0.548482</v>
      </c>
      <c r="C445">
        <v>0.548482</v>
      </c>
      <c r="D445">
        <v>0</v>
      </c>
    </row>
    <row r="446" spans="1:4">
      <c r="A446" t="s">
        <v>472</v>
      </c>
      <c r="B446">
        <v>0.225504</v>
      </c>
      <c r="C446">
        <v>0.225504</v>
      </c>
      <c r="D446">
        <v>0</v>
      </c>
    </row>
    <row r="447" spans="1:4">
      <c r="A447" t="s">
        <v>473</v>
      </c>
      <c r="B447">
        <v>0.1944</v>
      </c>
      <c r="C447">
        <v>0.09567</v>
      </c>
      <c r="D447">
        <v>0.09873</v>
      </c>
    </row>
    <row r="448" spans="1:4">
      <c r="A448" t="s">
        <v>474</v>
      </c>
      <c r="B448">
        <v>3.71169</v>
      </c>
      <c r="C448">
        <v>3.71169</v>
      </c>
      <c r="D448">
        <v>0</v>
      </c>
    </row>
    <row r="449" spans="1:4">
      <c r="A449" t="s">
        <v>475</v>
      </c>
      <c r="B449">
        <v>1.7496</v>
      </c>
      <c r="C449">
        <v>0</v>
      </c>
      <c r="D449">
        <v>1.7496</v>
      </c>
    </row>
    <row r="450" spans="1:4">
      <c r="A450" t="s">
        <v>477</v>
      </c>
      <c r="B450">
        <v>0.24984</v>
      </c>
      <c r="C450">
        <v>0</v>
      </c>
      <c r="D450">
        <v>0.24984</v>
      </c>
    </row>
    <row r="451" spans="1:4">
      <c r="A451" t="s">
        <v>478</v>
      </c>
      <c r="B451">
        <v>0.1944</v>
      </c>
      <c r="C451">
        <v>0</v>
      </c>
      <c r="D451">
        <v>0.1944</v>
      </c>
    </row>
    <row r="452" spans="1:4">
      <c r="A452" t="s">
        <v>479</v>
      </c>
      <c r="B452">
        <v>16.93855</v>
      </c>
      <c r="C452">
        <v>10.259042</v>
      </c>
      <c r="D452">
        <v>6.679508</v>
      </c>
    </row>
    <row r="453" spans="1:4">
      <c r="A453" t="s">
        <v>480</v>
      </c>
      <c r="B453">
        <v>2.88288</v>
      </c>
      <c r="C453">
        <v>0</v>
      </c>
      <c r="D453">
        <v>2.88288</v>
      </c>
    </row>
    <row r="454" spans="1:4">
      <c r="A454" t="s">
        <v>481</v>
      </c>
      <c r="B454">
        <v>6.026418</v>
      </c>
      <c r="C454">
        <v>4.61304</v>
      </c>
      <c r="D454">
        <v>1.413378</v>
      </c>
    </row>
    <row r="455" spans="1:4">
      <c r="A455" t="s">
        <v>483</v>
      </c>
      <c r="B455">
        <v>0.972</v>
      </c>
      <c r="C455">
        <v>0</v>
      </c>
      <c r="D455">
        <v>0.972</v>
      </c>
    </row>
    <row r="456" spans="1:4">
      <c r="A456" t="s">
        <v>484</v>
      </c>
      <c r="B456">
        <v>10.36152</v>
      </c>
      <c r="C456">
        <v>9.797677</v>
      </c>
      <c r="D456">
        <v>0.563843</v>
      </c>
    </row>
    <row r="457" spans="1:4">
      <c r="A457" t="s">
        <v>485</v>
      </c>
      <c r="B457">
        <v>3.58848</v>
      </c>
      <c r="C457">
        <v>3.58848</v>
      </c>
      <c r="D457">
        <v>0</v>
      </c>
    </row>
    <row r="458" spans="1:4">
      <c r="A458" t="s">
        <v>486</v>
      </c>
      <c r="B458">
        <v>0.176999</v>
      </c>
      <c r="C458">
        <v>0.176999</v>
      </c>
      <c r="D458">
        <v>0</v>
      </c>
    </row>
    <row r="459" spans="1:4">
      <c r="A459" t="s">
        <v>487</v>
      </c>
      <c r="B459">
        <v>3.776615</v>
      </c>
      <c r="C459">
        <v>0</v>
      </c>
      <c r="D459">
        <v>3.776615</v>
      </c>
    </row>
    <row r="460" spans="1:4">
      <c r="A460" t="s">
        <v>488</v>
      </c>
      <c r="B460">
        <v>51.102903</v>
      </c>
      <c r="C460">
        <v>14.224686</v>
      </c>
      <c r="D460">
        <v>36.878217</v>
      </c>
    </row>
    <row r="461" spans="1:4">
      <c r="A461" t="s">
        <v>489</v>
      </c>
      <c r="B461">
        <v>0.1944</v>
      </c>
      <c r="C461">
        <v>0</v>
      </c>
      <c r="D461">
        <v>0.1944</v>
      </c>
    </row>
    <row r="462" spans="1:4">
      <c r="A462" t="s">
        <v>490</v>
      </c>
      <c r="B462">
        <v>11.224664</v>
      </c>
      <c r="C462">
        <v>7.145808</v>
      </c>
      <c r="D462">
        <v>4.078856</v>
      </c>
    </row>
    <row r="463" spans="1:4">
      <c r="A463" t="s">
        <v>492</v>
      </c>
      <c r="B463">
        <v>0.24984</v>
      </c>
      <c r="C463">
        <v>0</v>
      </c>
      <c r="D463">
        <v>0.24984</v>
      </c>
    </row>
    <row r="464" spans="1:4">
      <c r="A464" t="s">
        <v>493</v>
      </c>
      <c r="B464">
        <v>5.796</v>
      </c>
      <c r="C464">
        <v>0</v>
      </c>
      <c r="D464">
        <v>5.796</v>
      </c>
    </row>
    <row r="465" spans="1:4">
      <c r="A465" t="s">
        <v>494</v>
      </c>
      <c r="B465">
        <v>1456.425862</v>
      </c>
      <c r="C465">
        <v>2.78919</v>
      </c>
      <c r="D465">
        <v>1453.636672</v>
      </c>
    </row>
    <row r="466" spans="1:4">
      <c r="A466" t="s">
        <v>495</v>
      </c>
      <c r="B466">
        <v>14.45007</v>
      </c>
      <c r="C466">
        <v>0.520398</v>
      </c>
      <c r="D466">
        <v>13.929672</v>
      </c>
    </row>
    <row r="467" spans="1:4">
      <c r="A467" t="s">
        <v>496</v>
      </c>
      <c r="B467">
        <v>10.094958</v>
      </c>
      <c r="C467">
        <v>10</v>
      </c>
      <c r="D467">
        <v>0.094958</v>
      </c>
    </row>
    <row r="468" spans="1:4">
      <c r="A468" t="s">
        <v>497</v>
      </c>
      <c r="B468">
        <v>1.46664</v>
      </c>
      <c r="C468">
        <v>0</v>
      </c>
      <c r="D468">
        <v>1.46664</v>
      </c>
    </row>
    <row r="469" spans="1:4">
      <c r="A469" t="s">
        <v>498</v>
      </c>
      <c r="B469">
        <v>542.710263</v>
      </c>
      <c r="C469">
        <v>19.153779</v>
      </c>
      <c r="D469">
        <v>523.556484</v>
      </c>
    </row>
    <row r="470" spans="1:4">
      <c r="A470" t="s">
        <v>499</v>
      </c>
      <c r="B470">
        <v>55.065764</v>
      </c>
      <c r="C470">
        <v>6.021448</v>
      </c>
      <c r="D470">
        <v>49.044316</v>
      </c>
    </row>
    <row r="471" spans="1:4">
      <c r="A471" t="s">
        <v>500</v>
      </c>
      <c r="B471">
        <v>0.51768</v>
      </c>
      <c r="C471">
        <v>0</v>
      </c>
      <c r="D471">
        <v>0.51768</v>
      </c>
    </row>
    <row r="472" spans="1:4">
      <c r="A472" t="s">
        <v>501</v>
      </c>
      <c r="B472">
        <v>0.1944</v>
      </c>
      <c r="C472">
        <v>0</v>
      </c>
      <c r="D472">
        <v>0.1944</v>
      </c>
    </row>
    <row r="473" spans="1:4">
      <c r="A473" t="s">
        <v>502</v>
      </c>
      <c r="B473">
        <v>0.3888</v>
      </c>
      <c r="C473">
        <v>0.14958</v>
      </c>
      <c r="D473">
        <v>0.23922</v>
      </c>
    </row>
    <row r="474" spans="1:4">
      <c r="A474" t="s">
        <v>503</v>
      </c>
      <c r="B474">
        <v>192.457068</v>
      </c>
      <c r="C474">
        <v>192.457068</v>
      </c>
      <c r="D474">
        <v>0</v>
      </c>
    </row>
    <row r="475" spans="1:4">
      <c r="A475" t="s">
        <v>504</v>
      </c>
      <c r="B475">
        <v>45.341148</v>
      </c>
      <c r="C475">
        <v>13.975548</v>
      </c>
      <c r="D475">
        <v>31.3656</v>
      </c>
    </row>
    <row r="476" spans="1:4">
      <c r="A476" t="s">
        <v>505</v>
      </c>
      <c r="B476">
        <v>1.3608</v>
      </c>
      <c r="C476">
        <v>0</v>
      </c>
      <c r="D476">
        <v>1.3608</v>
      </c>
    </row>
    <row r="477" spans="1:4">
      <c r="A477" t="s">
        <v>506</v>
      </c>
      <c r="B477">
        <v>11.48184</v>
      </c>
      <c r="C477">
        <v>2.724702</v>
      </c>
      <c r="D477">
        <v>8.757138</v>
      </c>
    </row>
    <row r="478" spans="1:4">
      <c r="A478" t="s">
        <v>507</v>
      </c>
      <c r="B478">
        <v>0.03495</v>
      </c>
      <c r="C478">
        <v>0.03495</v>
      </c>
      <c r="D478">
        <v>0</v>
      </c>
    </row>
    <row r="479" spans="1:4">
      <c r="A479" t="s">
        <v>508</v>
      </c>
      <c r="B479">
        <v>0.1944</v>
      </c>
      <c r="C479">
        <v>0</v>
      </c>
      <c r="D479">
        <v>0.1944</v>
      </c>
    </row>
    <row r="480" spans="1:4">
      <c r="A480" t="s">
        <v>509</v>
      </c>
      <c r="B480">
        <v>8.208948</v>
      </c>
      <c r="C480">
        <v>5.609393</v>
      </c>
      <c r="D480">
        <v>2.599555</v>
      </c>
    </row>
    <row r="481" spans="1:4">
      <c r="A481" t="s">
        <v>510</v>
      </c>
      <c r="B481">
        <v>57.36096</v>
      </c>
      <c r="C481">
        <v>13.091024</v>
      </c>
      <c r="D481">
        <v>44.269936</v>
      </c>
    </row>
    <row r="482" spans="1:4">
      <c r="A482" t="s">
        <v>512</v>
      </c>
      <c r="B482">
        <v>2.48472</v>
      </c>
      <c r="C482">
        <v>2.48472</v>
      </c>
      <c r="D482">
        <v>0</v>
      </c>
    </row>
    <row r="483" spans="1:4">
      <c r="A483" t="s">
        <v>513</v>
      </c>
      <c r="B483">
        <v>40908.230192</v>
      </c>
      <c r="C483">
        <v>40908.230192</v>
      </c>
      <c r="D483">
        <v>0</v>
      </c>
    </row>
    <row r="484" spans="1:4">
      <c r="A484" t="s">
        <v>515</v>
      </c>
      <c r="B484">
        <v>0.1944</v>
      </c>
      <c r="C484">
        <v>0</v>
      </c>
      <c r="D484">
        <v>0.1944</v>
      </c>
    </row>
    <row r="485" spans="1:4">
      <c r="A485" t="s">
        <v>516</v>
      </c>
      <c r="B485">
        <v>13028.992205</v>
      </c>
      <c r="C485">
        <v>7.5</v>
      </c>
      <c r="D485">
        <v>13021.492205</v>
      </c>
    </row>
    <row r="486" spans="1:4">
      <c r="A486" t="s">
        <v>518</v>
      </c>
      <c r="B486">
        <v>2.106</v>
      </c>
      <c r="C486">
        <v>0</v>
      </c>
      <c r="D486">
        <v>2.106</v>
      </c>
    </row>
    <row r="487" spans="1:4">
      <c r="A487" t="s">
        <v>519</v>
      </c>
      <c r="B487">
        <v>1.08648</v>
      </c>
      <c r="C487">
        <v>0</v>
      </c>
      <c r="D487">
        <v>1.08648</v>
      </c>
    </row>
    <row r="488" spans="1:4">
      <c r="A488" t="s">
        <v>520</v>
      </c>
      <c r="B488">
        <v>2.91096</v>
      </c>
      <c r="C488">
        <v>1.006707</v>
      </c>
      <c r="D488">
        <v>1.904253</v>
      </c>
    </row>
    <row r="489" spans="1:4">
      <c r="A489" t="s">
        <v>521</v>
      </c>
      <c r="B489">
        <v>12.50424</v>
      </c>
      <c r="C489">
        <v>0.1944</v>
      </c>
      <c r="D489">
        <v>12.30984</v>
      </c>
    </row>
    <row r="490" spans="1:4">
      <c r="A490" t="s">
        <v>522</v>
      </c>
      <c r="B490">
        <v>5.77296</v>
      </c>
      <c r="C490">
        <v>0</v>
      </c>
      <c r="D490">
        <v>5.77296</v>
      </c>
    </row>
    <row r="491" spans="1:4">
      <c r="A491" t="s">
        <v>523</v>
      </c>
      <c r="B491">
        <v>334.360001</v>
      </c>
      <c r="C491">
        <v>334.360001</v>
      </c>
      <c r="D491">
        <v>0</v>
      </c>
    </row>
    <row r="492" spans="1:4">
      <c r="A492" t="s">
        <v>524</v>
      </c>
      <c r="B492">
        <v>0.84384</v>
      </c>
      <c r="C492">
        <v>0</v>
      </c>
      <c r="D492">
        <v>0.84384</v>
      </c>
    </row>
    <row r="493" spans="1:4">
      <c r="A493" t="s">
        <v>525</v>
      </c>
      <c r="B493">
        <v>0.1944</v>
      </c>
      <c r="C493">
        <v>0</v>
      </c>
      <c r="D493">
        <v>0.1944</v>
      </c>
    </row>
    <row r="494" spans="1:4">
      <c r="A494" t="s">
        <v>526</v>
      </c>
      <c r="B494">
        <v>3.41856</v>
      </c>
      <c r="C494">
        <v>3.41856</v>
      </c>
      <c r="D494">
        <v>0</v>
      </c>
    </row>
    <row r="495" spans="1:4">
      <c r="A495" t="s">
        <v>527</v>
      </c>
      <c r="B495">
        <v>0.24984</v>
      </c>
      <c r="C495">
        <v>0</v>
      </c>
      <c r="D495">
        <v>0.24984</v>
      </c>
    </row>
    <row r="496" spans="1:4">
      <c r="A496" t="s">
        <v>528</v>
      </c>
      <c r="B496">
        <v>18834.441151</v>
      </c>
      <c r="C496">
        <v>19.492043</v>
      </c>
      <c r="D496">
        <v>18814.949108</v>
      </c>
    </row>
    <row r="497" spans="1:4">
      <c r="A497" t="s">
        <v>530</v>
      </c>
      <c r="B497">
        <v>0.1944</v>
      </c>
      <c r="C497">
        <v>0</v>
      </c>
      <c r="D497">
        <v>0.1944</v>
      </c>
    </row>
    <row r="498" spans="1:4">
      <c r="A498" t="s">
        <v>531</v>
      </c>
      <c r="B498">
        <v>0.1944</v>
      </c>
      <c r="C498">
        <v>0.1944</v>
      </c>
      <c r="D498">
        <v>0</v>
      </c>
    </row>
    <row r="499" spans="1:4">
      <c r="A499" t="s">
        <v>532</v>
      </c>
      <c r="B499">
        <v>0.1944</v>
      </c>
      <c r="C499">
        <v>0.1944</v>
      </c>
      <c r="D499">
        <v>0</v>
      </c>
    </row>
    <row r="500" spans="1:4">
      <c r="A500" t="s">
        <v>533</v>
      </c>
      <c r="B500">
        <v>0.1944</v>
      </c>
      <c r="C500">
        <v>0</v>
      </c>
      <c r="D500">
        <v>0.1944</v>
      </c>
    </row>
    <row r="501" spans="1:4">
      <c r="A501" t="s">
        <v>534</v>
      </c>
      <c r="B501">
        <v>0.48312</v>
      </c>
      <c r="C501">
        <v>0</v>
      </c>
      <c r="D501">
        <v>0.48312</v>
      </c>
    </row>
    <row r="502" spans="1:4">
      <c r="A502" t="s">
        <v>535</v>
      </c>
      <c r="B502">
        <v>0.15021</v>
      </c>
      <c r="C502">
        <v>0.004095</v>
      </c>
      <c r="D502">
        <v>0.146115</v>
      </c>
    </row>
    <row r="503" spans="1:4">
      <c r="A503" t="s">
        <v>536</v>
      </c>
      <c r="B503">
        <v>0.1944</v>
      </c>
      <c r="C503">
        <v>0</v>
      </c>
      <c r="D503">
        <v>0.1944</v>
      </c>
    </row>
    <row r="504" spans="1:4">
      <c r="A504" t="s">
        <v>537</v>
      </c>
      <c r="B504">
        <v>32.914887</v>
      </c>
      <c r="C504">
        <v>7</v>
      </c>
      <c r="D504">
        <v>25.914887</v>
      </c>
    </row>
    <row r="505" spans="1:4">
      <c r="A505" t="s">
        <v>538</v>
      </c>
      <c r="B505">
        <v>0.1944</v>
      </c>
      <c r="C505">
        <v>0</v>
      </c>
      <c r="D505">
        <v>0.1944</v>
      </c>
    </row>
    <row r="506" spans="1:4">
      <c r="A506" t="s">
        <v>539</v>
      </c>
      <c r="B506">
        <v>0.1944</v>
      </c>
      <c r="C506">
        <v>0</v>
      </c>
      <c r="D506">
        <v>0.1944</v>
      </c>
    </row>
    <row r="507" spans="1:4">
      <c r="A507" t="s">
        <v>540</v>
      </c>
      <c r="B507">
        <v>0.1944</v>
      </c>
      <c r="C507">
        <v>0</v>
      </c>
      <c r="D507">
        <v>0.1944</v>
      </c>
    </row>
    <row r="508" spans="1:4">
      <c r="A508" t="s">
        <v>541</v>
      </c>
      <c r="B508">
        <v>0.1944</v>
      </c>
      <c r="C508">
        <v>0</v>
      </c>
      <c r="D508">
        <v>0.1944</v>
      </c>
    </row>
    <row r="509" spans="1:4">
      <c r="A509" t="s">
        <v>542</v>
      </c>
      <c r="B509">
        <v>0.34128</v>
      </c>
      <c r="C509">
        <v>0</v>
      </c>
      <c r="D509">
        <v>0.34128</v>
      </c>
    </row>
    <row r="510" spans="1:4">
      <c r="A510" t="s">
        <v>543</v>
      </c>
      <c r="B510">
        <v>0.1944</v>
      </c>
      <c r="C510">
        <v>0</v>
      </c>
      <c r="D510">
        <v>0.1944</v>
      </c>
    </row>
    <row r="511" spans="1:4">
      <c r="A511" t="s">
        <v>544</v>
      </c>
      <c r="B511">
        <v>2.213461</v>
      </c>
      <c r="C511">
        <v>1.799596</v>
      </c>
      <c r="D511">
        <v>0.413865</v>
      </c>
    </row>
    <row r="512" spans="1:4">
      <c r="A512" t="s">
        <v>545</v>
      </c>
      <c r="B512">
        <v>0.1944</v>
      </c>
      <c r="C512">
        <v>0</v>
      </c>
      <c r="D512">
        <v>0.1944</v>
      </c>
    </row>
    <row r="513" spans="1:4">
      <c r="A513" t="s">
        <v>546</v>
      </c>
      <c r="B513">
        <v>0.1944</v>
      </c>
      <c r="C513">
        <v>0</v>
      </c>
      <c r="D513">
        <v>0.1944</v>
      </c>
    </row>
    <row r="514" spans="1:4">
      <c r="A514" t="s">
        <v>547</v>
      </c>
      <c r="B514">
        <v>0.60912</v>
      </c>
      <c r="C514">
        <v>0.012746</v>
      </c>
      <c r="D514">
        <v>0.596374</v>
      </c>
    </row>
    <row r="515" spans="1:4">
      <c r="A515" t="s">
        <v>548</v>
      </c>
      <c r="B515">
        <v>5.51304</v>
      </c>
      <c r="C515">
        <v>0</v>
      </c>
      <c r="D515">
        <v>5.51304</v>
      </c>
    </row>
    <row r="516" spans="1:4">
      <c r="A516" t="s">
        <v>549</v>
      </c>
      <c r="B516">
        <v>2.48256</v>
      </c>
      <c r="C516">
        <v>0</v>
      </c>
      <c r="D516">
        <v>2.48256</v>
      </c>
    </row>
    <row r="517" spans="1:4">
      <c r="A517" t="s">
        <v>550</v>
      </c>
      <c r="B517">
        <v>0.3888</v>
      </c>
      <c r="C517">
        <v>0</v>
      </c>
      <c r="D517">
        <v>0.3888</v>
      </c>
    </row>
    <row r="518" spans="1:4">
      <c r="A518" t="s">
        <v>551</v>
      </c>
      <c r="B518">
        <v>0.1944</v>
      </c>
      <c r="C518">
        <v>0</v>
      </c>
      <c r="D518">
        <v>0.1944</v>
      </c>
    </row>
    <row r="519" spans="1:4">
      <c r="A519" t="s">
        <v>552</v>
      </c>
      <c r="B519">
        <v>3.67488</v>
      </c>
      <c r="C519">
        <v>3.67488</v>
      </c>
      <c r="D519">
        <v>0</v>
      </c>
    </row>
    <row r="520" spans="1:4">
      <c r="A520" t="s">
        <v>553</v>
      </c>
      <c r="B520">
        <v>97628.037081</v>
      </c>
      <c r="C520">
        <v>16.5</v>
      </c>
      <c r="D520">
        <v>97611.537081</v>
      </c>
    </row>
    <row r="521" spans="1:4">
      <c r="A521" t="s">
        <v>555</v>
      </c>
      <c r="B521">
        <v>0.1944</v>
      </c>
      <c r="C521">
        <v>0.17721</v>
      </c>
      <c r="D521">
        <v>0.01719</v>
      </c>
    </row>
    <row r="522" spans="1:4">
      <c r="A522" t="s">
        <v>556</v>
      </c>
      <c r="B522">
        <v>3.914538</v>
      </c>
      <c r="C522">
        <v>0.026711</v>
      </c>
      <c r="D522">
        <v>3.887827</v>
      </c>
    </row>
    <row r="523" spans="1:4">
      <c r="A523" t="s">
        <v>557</v>
      </c>
      <c r="B523">
        <v>0.1944</v>
      </c>
      <c r="C523">
        <v>0</v>
      </c>
      <c r="D523">
        <v>0.1944</v>
      </c>
    </row>
    <row r="524" spans="1:4">
      <c r="A524" t="s">
        <v>558</v>
      </c>
      <c r="B524">
        <v>5.89392</v>
      </c>
      <c r="C524">
        <v>5.89392</v>
      </c>
      <c r="D524">
        <v>0</v>
      </c>
    </row>
    <row r="525" spans="1:4">
      <c r="A525" t="s">
        <v>559</v>
      </c>
      <c r="B525">
        <v>0.1944</v>
      </c>
      <c r="C525">
        <v>0</v>
      </c>
      <c r="D525">
        <v>0.1944</v>
      </c>
    </row>
    <row r="526" spans="1:4">
      <c r="A526" t="s">
        <v>560</v>
      </c>
      <c r="B526">
        <v>0.1944</v>
      </c>
      <c r="C526">
        <v>0.1944</v>
      </c>
      <c r="D526">
        <v>0</v>
      </c>
    </row>
    <row r="527" spans="1:4">
      <c r="A527" t="s">
        <v>561</v>
      </c>
      <c r="B527">
        <v>0.1944</v>
      </c>
      <c r="C527">
        <v>0</v>
      </c>
      <c r="D527">
        <v>0.1944</v>
      </c>
    </row>
    <row r="528" spans="1:4">
      <c r="A528" t="s">
        <v>562</v>
      </c>
      <c r="B528">
        <v>2466.854826</v>
      </c>
      <c r="C528">
        <v>0</v>
      </c>
      <c r="D528">
        <v>2466.854826</v>
      </c>
    </row>
    <row r="529" spans="1:4">
      <c r="A529" t="s">
        <v>564</v>
      </c>
      <c r="B529">
        <v>0.118364</v>
      </c>
      <c r="C529">
        <v>0</v>
      </c>
      <c r="D529">
        <v>0.118364</v>
      </c>
    </row>
    <row r="530" spans="1:4">
      <c r="A530" t="s">
        <v>565</v>
      </c>
      <c r="B530">
        <v>5.9184</v>
      </c>
      <c r="C530">
        <v>5.9184</v>
      </c>
      <c r="D530">
        <v>0</v>
      </c>
    </row>
    <row r="531" spans="1:4">
      <c r="A531" t="s">
        <v>566</v>
      </c>
      <c r="B531">
        <v>11.394439</v>
      </c>
      <c r="C531">
        <v>0</v>
      </c>
      <c r="D531">
        <v>11.394439</v>
      </c>
    </row>
    <row r="532" spans="1:4">
      <c r="A532" t="s">
        <v>567</v>
      </c>
      <c r="B532">
        <v>0.1944</v>
      </c>
      <c r="C532">
        <v>0</v>
      </c>
      <c r="D532">
        <v>0.1944</v>
      </c>
    </row>
    <row r="533" spans="1:4">
      <c r="A533" t="s">
        <v>568</v>
      </c>
      <c r="B533">
        <v>0.1944</v>
      </c>
      <c r="C533">
        <v>0</v>
      </c>
      <c r="D533">
        <v>0.1944</v>
      </c>
    </row>
    <row r="534" spans="1:4">
      <c r="A534" t="s">
        <v>569</v>
      </c>
      <c r="B534">
        <v>0.1944</v>
      </c>
      <c r="C534">
        <v>0</v>
      </c>
      <c r="D534">
        <v>0.1944</v>
      </c>
    </row>
    <row r="535" spans="1:4">
      <c r="A535" t="s">
        <v>570</v>
      </c>
      <c r="B535">
        <v>0.25416</v>
      </c>
      <c r="C535">
        <v>0</v>
      </c>
      <c r="D535">
        <v>0.25416</v>
      </c>
    </row>
    <row r="536" spans="1:4">
      <c r="A536" t="s">
        <v>571</v>
      </c>
      <c r="B536">
        <v>21.652458</v>
      </c>
      <c r="C536">
        <v>7.821069</v>
      </c>
      <c r="D536">
        <v>13.831389</v>
      </c>
    </row>
    <row r="537" spans="1:4">
      <c r="A537" t="s">
        <v>573</v>
      </c>
      <c r="B537">
        <v>0.1944</v>
      </c>
      <c r="C537">
        <v>0</v>
      </c>
      <c r="D537">
        <v>0.1944</v>
      </c>
    </row>
    <row r="538" spans="1:4">
      <c r="A538" t="s">
        <v>574</v>
      </c>
      <c r="B538">
        <v>2.867868</v>
      </c>
      <c r="C538">
        <v>0</v>
      </c>
      <c r="D538">
        <v>2.867868</v>
      </c>
    </row>
    <row r="539" spans="1:4">
      <c r="A539" t="s">
        <v>575</v>
      </c>
      <c r="B539">
        <v>0.1944</v>
      </c>
      <c r="C539">
        <v>0</v>
      </c>
      <c r="D539">
        <v>0.1944</v>
      </c>
    </row>
    <row r="540" spans="1:4">
      <c r="A540" t="s">
        <v>576</v>
      </c>
      <c r="B540">
        <v>0.24984</v>
      </c>
      <c r="C540">
        <v>0</v>
      </c>
      <c r="D540">
        <v>0.24984</v>
      </c>
    </row>
    <row r="541" spans="1:4">
      <c r="A541" t="s">
        <v>577</v>
      </c>
      <c r="B541">
        <v>0.1944</v>
      </c>
      <c r="C541">
        <v>0</v>
      </c>
      <c r="D541">
        <v>0.1944</v>
      </c>
    </row>
    <row r="542" spans="1:4">
      <c r="A542" t="s">
        <v>578</v>
      </c>
      <c r="B542">
        <v>0.1944</v>
      </c>
      <c r="C542">
        <v>0</v>
      </c>
      <c r="D542">
        <v>0.1944</v>
      </c>
    </row>
    <row r="543" spans="1:4">
      <c r="A543" t="s">
        <v>579</v>
      </c>
      <c r="B543">
        <v>53163.835121</v>
      </c>
      <c r="C543">
        <v>7.64688</v>
      </c>
      <c r="D543">
        <v>53156.188241</v>
      </c>
    </row>
    <row r="544" spans="1:4">
      <c r="A544" t="s">
        <v>581</v>
      </c>
      <c r="B544">
        <v>15.3576</v>
      </c>
      <c r="C544">
        <v>0</v>
      </c>
      <c r="D544">
        <v>15.3576</v>
      </c>
    </row>
    <row r="545" spans="1:4">
      <c r="A545" t="s">
        <v>582</v>
      </c>
      <c r="B545">
        <v>6.23741</v>
      </c>
      <c r="C545">
        <v>0</v>
      </c>
      <c r="D545">
        <v>6.23741</v>
      </c>
    </row>
    <row r="546" spans="1:4">
      <c r="A546" t="s">
        <v>583</v>
      </c>
      <c r="B546">
        <v>0.1944</v>
      </c>
      <c r="C546">
        <v>0</v>
      </c>
      <c r="D546">
        <v>0.1944</v>
      </c>
    </row>
    <row r="547" spans="1:4">
      <c r="A547" t="s">
        <v>584</v>
      </c>
      <c r="B547">
        <v>14.18617</v>
      </c>
      <c r="C547">
        <v>0</v>
      </c>
      <c r="D547">
        <v>14.18617</v>
      </c>
    </row>
    <row r="548" spans="1:4">
      <c r="A548" t="s">
        <v>585</v>
      </c>
      <c r="B548">
        <v>23.051447</v>
      </c>
      <c r="C548">
        <v>20.576684</v>
      </c>
      <c r="D548">
        <v>2.474763</v>
      </c>
    </row>
    <row r="549" spans="1:4">
      <c r="A549" t="s">
        <v>586</v>
      </c>
      <c r="B549">
        <v>3910.118791</v>
      </c>
      <c r="C549">
        <v>11.01648</v>
      </c>
      <c r="D549">
        <v>3899.102311</v>
      </c>
    </row>
    <row r="550" spans="1:4">
      <c r="A550" t="s">
        <v>588</v>
      </c>
      <c r="B550">
        <v>2.38824</v>
      </c>
      <c r="C550">
        <v>2.38824</v>
      </c>
      <c r="D550">
        <v>0</v>
      </c>
    </row>
    <row r="551" spans="1:4">
      <c r="A551" t="s">
        <v>590</v>
      </c>
      <c r="B551">
        <v>21.03048</v>
      </c>
      <c r="C551">
        <v>0</v>
      </c>
      <c r="D551">
        <v>21.03048</v>
      </c>
    </row>
    <row r="552" spans="1:4">
      <c r="A552" t="s">
        <v>592</v>
      </c>
      <c r="B552">
        <v>0.7776</v>
      </c>
      <c r="C552">
        <v>0</v>
      </c>
      <c r="D552">
        <v>0.7776</v>
      </c>
    </row>
    <row r="553" spans="1:4">
      <c r="A553" t="s">
        <v>593</v>
      </c>
      <c r="B553">
        <v>9.11736</v>
      </c>
      <c r="C553">
        <v>9.11736</v>
      </c>
      <c r="D553">
        <v>0</v>
      </c>
    </row>
    <row r="554" spans="1:4">
      <c r="A554" t="s">
        <v>595</v>
      </c>
      <c r="B554">
        <v>7.728344</v>
      </c>
      <c r="C554">
        <v>4.574527</v>
      </c>
      <c r="D554">
        <v>3.153817</v>
      </c>
    </row>
    <row r="555" spans="1:4">
      <c r="A555" t="s">
        <v>596</v>
      </c>
      <c r="B555">
        <v>0.1944</v>
      </c>
      <c r="C555">
        <v>0</v>
      </c>
      <c r="D555">
        <v>0.1944</v>
      </c>
    </row>
    <row r="556" spans="1:4">
      <c r="A556" t="s">
        <v>597</v>
      </c>
      <c r="B556">
        <v>4.395665</v>
      </c>
      <c r="C556">
        <v>3.686879</v>
      </c>
      <c r="D556">
        <v>0.708786</v>
      </c>
    </row>
    <row r="557" spans="1:4">
      <c r="A557" t="s">
        <v>598</v>
      </c>
      <c r="B557">
        <v>0.1944</v>
      </c>
      <c r="C557">
        <v>0</v>
      </c>
      <c r="D557">
        <v>0.1944</v>
      </c>
    </row>
    <row r="558" spans="1:4">
      <c r="A558" t="s">
        <v>599</v>
      </c>
      <c r="B558">
        <v>3.2436</v>
      </c>
      <c r="C558">
        <v>0</v>
      </c>
      <c r="D558">
        <v>3.2436</v>
      </c>
    </row>
    <row r="559" spans="1:4">
      <c r="A559" t="s">
        <v>600</v>
      </c>
      <c r="B559">
        <v>50.159706</v>
      </c>
      <c r="C559">
        <v>8.2452</v>
      </c>
      <c r="D559">
        <v>41.914506</v>
      </c>
    </row>
    <row r="560" spans="1:4">
      <c r="A560" t="s">
        <v>601</v>
      </c>
      <c r="B560">
        <v>0.1944</v>
      </c>
      <c r="C560">
        <v>0</v>
      </c>
      <c r="D560">
        <v>0.1944</v>
      </c>
    </row>
    <row r="561" spans="1:4">
      <c r="A561" t="s">
        <v>602</v>
      </c>
      <c r="B561">
        <v>0.1944</v>
      </c>
      <c r="C561">
        <v>0</v>
      </c>
      <c r="D561">
        <v>0.1944</v>
      </c>
    </row>
    <row r="562" spans="1:4">
      <c r="A562" t="s">
        <v>603</v>
      </c>
      <c r="B562">
        <v>0.1944</v>
      </c>
      <c r="C562">
        <v>0</v>
      </c>
      <c r="D562">
        <v>0.1944</v>
      </c>
    </row>
    <row r="563" spans="1:4">
      <c r="A563" t="s">
        <v>604</v>
      </c>
      <c r="B563">
        <v>0.1944</v>
      </c>
      <c r="C563">
        <v>0</v>
      </c>
      <c r="D563">
        <v>0.1944</v>
      </c>
    </row>
    <row r="564" spans="1:4">
      <c r="A564" t="s">
        <v>605</v>
      </c>
      <c r="B564">
        <v>296.466044</v>
      </c>
      <c r="C564">
        <v>296.466044</v>
      </c>
      <c r="D564">
        <v>0</v>
      </c>
    </row>
    <row r="565" spans="1:4">
      <c r="A565" t="s">
        <v>606</v>
      </c>
      <c r="B565">
        <v>0.1944</v>
      </c>
      <c r="C565">
        <v>0.1944</v>
      </c>
      <c r="D565">
        <v>0</v>
      </c>
    </row>
    <row r="566" spans="1:4">
      <c r="A566" t="s">
        <v>607</v>
      </c>
      <c r="B566">
        <v>3.03768</v>
      </c>
      <c r="C566">
        <v>0</v>
      </c>
      <c r="D566">
        <v>3.03768</v>
      </c>
    </row>
    <row r="567" spans="1:4">
      <c r="A567" t="s">
        <v>608</v>
      </c>
      <c r="B567">
        <v>0.3888</v>
      </c>
      <c r="C567">
        <v>0.35442</v>
      </c>
      <c r="D567">
        <v>0.03438</v>
      </c>
    </row>
    <row r="568" spans="1:4">
      <c r="A568" t="s">
        <v>609</v>
      </c>
      <c r="B568">
        <v>58.18248</v>
      </c>
      <c r="C568">
        <v>14.5</v>
      </c>
      <c r="D568">
        <v>43.68248</v>
      </c>
    </row>
    <row r="569" spans="1:4">
      <c r="A569" t="s">
        <v>610</v>
      </c>
      <c r="B569">
        <v>4943.106335</v>
      </c>
      <c r="C569">
        <v>11.560897</v>
      </c>
      <c r="D569">
        <v>4931.545438</v>
      </c>
    </row>
    <row r="570" spans="1:4">
      <c r="A570" t="s">
        <v>612</v>
      </c>
      <c r="B570">
        <v>88.123882</v>
      </c>
      <c r="C570">
        <v>2.945672</v>
      </c>
      <c r="D570">
        <v>85.17821</v>
      </c>
    </row>
    <row r="571" spans="1:4">
      <c r="A571" t="s">
        <v>613</v>
      </c>
      <c r="B571">
        <v>2.7216</v>
      </c>
      <c r="C571">
        <v>0</v>
      </c>
      <c r="D571">
        <v>2.7216</v>
      </c>
    </row>
    <row r="572" spans="1:4">
      <c r="A572" t="s">
        <v>614</v>
      </c>
      <c r="B572">
        <v>0.1944</v>
      </c>
      <c r="C572">
        <v>0</v>
      </c>
      <c r="D572">
        <v>0.1944</v>
      </c>
    </row>
    <row r="573" spans="1:4">
      <c r="A573" t="s">
        <v>615</v>
      </c>
      <c r="B573">
        <v>1.1664</v>
      </c>
      <c r="C573">
        <v>1.1664</v>
      </c>
      <c r="D573">
        <v>0</v>
      </c>
    </row>
    <row r="574" spans="1:4">
      <c r="A574" t="s">
        <v>616</v>
      </c>
      <c r="B574">
        <v>625.758307</v>
      </c>
      <c r="C574">
        <v>18.12695</v>
      </c>
      <c r="D574">
        <v>607.631357</v>
      </c>
    </row>
    <row r="575" spans="1:4">
      <c r="A575" t="s">
        <v>618</v>
      </c>
      <c r="B575">
        <v>0.1944</v>
      </c>
      <c r="C575">
        <v>0</v>
      </c>
      <c r="D575">
        <v>0.1944</v>
      </c>
    </row>
    <row r="576" spans="1:4">
      <c r="A576" t="s">
        <v>619</v>
      </c>
      <c r="B576">
        <v>0.1944</v>
      </c>
      <c r="C576">
        <v>0</v>
      </c>
      <c r="D576">
        <v>0.1944</v>
      </c>
    </row>
    <row r="577" spans="1:4">
      <c r="A577" t="s">
        <v>620</v>
      </c>
      <c r="B577">
        <v>0.1944</v>
      </c>
      <c r="C577">
        <v>0</v>
      </c>
      <c r="D577">
        <v>0.1944</v>
      </c>
    </row>
    <row r="578" spans="1:4">
      <c r="A578" t="s">
        <v>621</v>
      </c>
      <c r="B578">
        <v>2.916</v>
      </c>
      <c r="C578">
        <v>0</v>
      </c>
      <c r="D578">
        <v>2.916</v>
      </c>
    </row>
    <row r="579" spans="1:4">
      <c r="A579" t="s">
        <v>622</v>
      </c>
      <c r="B579">
        <v>5.47272</v>
      </c>
      <c r="C579">
        <v>5.47272</v>
      </c>
      <c r="D579">
        <v>0</v>
      </c>
    </row>
    <row r="580" spans="1:4">
      <c r="A580" t="s">
        <v>624</v>
      </c>
      <c r="B580">
        <v>11.245628</v>
      </c>
      <c r="C580">
        <v>4.7412</v>
      </c>
      <c r="D580">
        <v>6.504428</v>
      </c>
    </row>
    <row r="581" spans="1:4">
      <c r="A581" t="s">
        <v>625</v>
      </c>
      <c r="B581">
        <v>35.263304</v>
      </c>
      <c r="C581">
        <v>8.271033</v>
      </c>
      <c r="D581">
        <v>26.992271</v>
      </c>
    </row>
    <row r="582" spans="1:4">
      <c r="A582" t="s">
        <v>627</v>
      </c>
      <c r="B582">
        <v>0.165896</v>
      </c>
      <c r="C582">
        <v>0</v>
      </c>
      <c r="D582">
        <v>0.165896</v>
      </c>
    </row>
    <row r="583" spans="1:4">
      <c r="A583" t="s">
        <v>628</v>
      </c>
      <c r="B583">
        <v>0.205491</v>
      </c>
      <c r="C583">
        <v>0.011451</v>
      </c>
      <c r="D583">
        <v>0.19404</v>
      </c>
    </row>
    <row r="584" spans="1:4">
      <c r="A584" t="s">
        <v>629</v>
      </c>
      <c r="B584">
        <v>0.1944</v>
      </c>
      <c r="C584">
        <v>0</v>
      </c>
      <c r="D584">
        <v>0.1944</v>
      </c>
    </row>
    <row r="585" spans="1:4">
      <c r="A585" t="s">
        <v>630</v>
      </c>
      <c r="B585">
        <v>3.77928</v>
      </c>
      <c r="C585">
        <v>0</v>
      </c>
      <c r="D585">
        <v>3.77928</v>
      </c>
    </row>
    <row r="586" spans="1:4">
      <c r="A586" t="s">
        <v>631</v>
      </c>
      <c r="B586">
        <v>30.550564</v>
      </c>
      <c r="C586">
        <v>7.685085</v>
      </c>
      <c r="D586">
        <v>22.865479</v>
      </c>
    </row>
    <row r="587" spans="1:4">
      <c r="A587" t="s">
        <v>632</v>
      </c>
      <c r="B587">
        <v>4.63752</v>
      </c>
      <c r="C587">
        <v>4.63752</v>
      </c>
      <c r="D587">
        <v>0</v>
      </c>
    </row>
    <row r="588" spans="1:4">
      <c r="A588" t="s">
        <v>633</v>
      </c>
      <c r="B588">
        <v>3.81888</v>
      </c>
      <c r="C588">
        <v>3.81888</v>
      </c>
      <c r="D588">
        <v>0</v>
      </c>
    </row>
    <row r="589" spans="1:4">
      <c r="A589" t="s">
        <v>634</v>
      </c>
      <c r="B589">
        <v>0.114636</v>
      </c>
      <c r="C589">
        <v>0</v>
      </c>
      <c r="D589">
        <v>0.114636</v>
      </c>
    </row>
    <row r="590" spans="1:4">
      <c r="A590" t="s">
        <v>635</v>
      </c>
      <c r="B590">
        <v>0.1944</v>
      </c>
      <c r="C590">
        <v>0</v>
      </c>
      <c r="D590">
        <v>0.1944</v>
      </c>
    </row>
    <row r="591" spans="1:4">
      <c r="A591" t="s">
        <v>636</v>
      </c>
      <c r="B591">
        <v>0.1944</v>
      </c>
      <c r="C591">
        <v>0</v>
      </c>
      <c r="D591">
        <v>0.1944</v>
      </c>
    </row>
    <row r="592" spans="1:4">
      <c r="A592" t="s">
        <v>637</v>
      </c>
      <c r="B592">
        <v>0.80712</v>
      </c>
      <c r="C592">
        <v>0</v>
      </c>
      <c r="D592">
        <v>0.80712</v>
      </c>
    </row>
    <row r="593" spans="1:4">
      <c r="A593" t="s">
        <v>638</v>
      </c>
      <c r="B593">
        <v>0.14688</v>
      </c>
      <c r="C593">
        <v>0</v>
      </c>
      <c r="D593">
        <v>0.14688</v>
      </c>
    </row>
    <row r="594" spans="1:4">
      <c r="A594" t="s">
        <v>639</v>
      </c>
      <c r="B594">
        <v>5.148</v>
      </c>
      <c r="C594">
        <v>0</v>
      </c>
      <c r="D594">
        <v>5.148</v>
      </c>
    </row>
    <row r="595" spans="1:4">
      <c r="A595" t="s">
        <v>640</v>
      </c>
      <c r="B595">
        <v>0.871055</v>
      </c>
      <c r="C595">
        <v>0</v>
      </c>
      <c r="D595">
        <v>0.871055</v>
      </c>
    </row>
    <row r="596" spans="1:4">
      <c r="A596" t="s">
        <v>641</v>
      </c>
      <c r="B596">
        <v>0.1944</v>
      </c>
      <c r="C596">
        <v>0</v>
      </c>
      <c r="D596">
        <v>0.1944</v>
      </c>
    </row>
    <row r="597" spans="1:4">
      <c r="A597" t="s">
        <v>642</v>
      </c>
      <c r="B597">
        <v>0.1944</v>
      </c>
      <c r="C597">
        <v>0</v>
      </c>
      <c r="D597">
        <v>0.1944</v>
      </c>
    </row>
    <row r="598" spans="1:4">
      <c r="A598" t="s">
        <v>643</v>
      </c>
      <c r="B598">
        <v>0.1944</v>
      </c>
      <c r="C598">
        <v>0</v>
      </c>
      <c r="D598">
        <v>0.1944</v>
      </c>
    </row>
    <row r="599" spans="1:4">
      <c r="A599" t="s">
        <v>644</v>
      </c>
      <c r="B599">
        <v>3.92364</v>
      </c>
      <c r="C599">
        <v>0</v>
      </c>
      <c r="D599">
        <v>3.92364</v>
      </c>
    </row>
    <row r="600" spans="1:4">
      <c r="A600" t="s">
        <v>645</v>
      </c>
      <c r="B600">
        <v>23.736544</v>
      </c>
      <c r="C600">
        <v>0</v>
      </c>
      <c r="D600">
        <v>23.736544</v>
      </c>
    </row>
    <row r="601" spans="1:4">
      <c r="A601" t="s">
        <v>646</v>
      </c>
      <c r="B601">
        <v>6.389122</v>
      </c>
      <c r="C601">
        <v>1.523452</v>
      </c>
      <c r="D601">
        <v>4.86567</v>
      </c>
    </row>
    <row r="602" spans="1:4">
      <c r="A602" t="s">
        <v>647</v>
      </c>
      <c r="B602">
        <v>3.6864</v>
      </c>
      <c r="C602">
        <v>0</v>
      </c>
      <c r="D602">
        <v>3.6864</v>
      </c>
    </row>
    <row r="603" spans="1:4">
      <c r="A603" t="s">
        <v>648</v>
      </c>
      <c r="B603">
        <v>6381.276416</v>
      </c>
      <c r="C603">
        <v>24.876824</v>
      </c>
      <c r="D603">
        <v>6356.399592</v>
      </c>
    </row>
    <row r="604" spans="1:4">
      <c r="A604" t="s">
        <v>650</v>
      </c>
      <c r="B604">
        <v>6.735458</v>
      </c>
      <c r="C604">
        <v>1.917438</v>
      </c>
      <c r="D604">
        <v>4.81802</v>
      </c>
    </row>
    <row r="605" spans="1:4">
      <c r="A605" t="s">
        <v>651</v>
      </c>
      <c r="B605">
        <v>0.1944</v>
      </c>
      <c r="C605">
        <v>0</v>
      </c>
      <c r="D605">
        <v>0.1944</v>
      </c>
    </row>
    <row r="606" spans="1:4">
      <c r="A606" t="s">
        <v>652</v>
      </c>
      <c r="B606">
        <v>0.24984</v>
      </c>
      <c r="C606">
        <v>0</v>
      </c>
      <c r="D606">
        <v>0.24984</v>
      </c>
    </row>
    <row r="607" spans="1:4">
      <c r="A607" t="s">
        <v>653</v>
      </c>
      <c r="B607">
        <v>26.156276</v>
      </c>
      <c r="C607">
        <v>4.189035</v>
      </c>
      <c r="D607">
        <v>21.967241</v>
      </c>
    </row>
    <row r="608" spans="1:4">
      <c r="A608" t="s">
        <v>654</v>
      </c>
      <c r="B608">
        <v>4928.976348</v>
      </c>
      <c r="C608">
        <v>11.800116</v>
      </c>
      <c r="D608">
        <v>4917.176232</v>
      </c>
    </row>
    <row r="609" spans="1:4">
      <c r="A609" t="s">
        <v>655</v>
      </c>
      <c r="B609">
        <v>5.33664</v>
      </c>
      <c r="C609">
        <v>5.33664</v>
      </c>
      <c r="D609">
        <v>0</v>
      </c>
    </row>
    <row r="610" spans="1:4">
      <c r="A610" t="s">
        <v>656</v>
      </c>
      <c r="B610">
        <v>0.1944</v>
      </c>
      <c r="C610">
        <v>0</v>
      </c>
      <c r="D610">
        <v>0.1944</v>
      </c>
    </row>
    <row r="611" spans="1:4">
      <c r="A611" t="s">
        <v>657</v>
      </c>
      <c r="B611">
        <v>7.64928</v>
      </c>
      <c r="C611">
        <v>5.758478</v>
      </c>
      <c r="D611">
        <v>1.890802</v>
      </c>
    </row>
    <row r="612" spans="1:4">
      <c r="A612" t="s">
        <v>658</v>
      </c>
      <c r="B612">
        <v>0.1944</v>
      </c>
      <c r="C612">
        <v>0</v>
      </c>
      <c r="D612">
        <v>0.1944</v>
      </c>
    </row>
    <row r="613" spans="1:4">
      <c r="A613" t="s">
        <v>659</v>
      </c>
      <c r="B613">
        <v>4.22208</v>
      </c>
      <c r="C613">
        <v>4.22208</v>
      </c>
      <c r="D613">
        <v>0</v>
      </c>
    </row>
    <row r="614" spans="1:4">
      <c r="A614" t="s">
        <v>660</v>
      </c>
      <c r="B614">
        <v>0.1944</v>
      </c>
      <c r="C614">
        <v>0</v>
      </c>
      <c r="D614">
        <v>0.1944</v>
      </c>
    </row>
    <row r="615" spans="1:4">
      <c r="A615" t="s">
        <v>661</v>
      </c>
      <c r="B615">
        <v>0.1944</v>
      </c>
      <c r="C615">
        <v>0</v>
      </c>
      <c r="D615">
        <v>0.1944</v>
      </c>
    </row>
    <row r="616" spans="1:4">
      <c r="A616" t="s">
        <v>662</v>
      </c>
      <c r="B616">
        <v>14.359551</v>
      </c>
      <c r="C616">
        <v>7.5</v>
      </c>
      <c r="D616">
        <v>6.859551</v>
      </c>
    </row>
    <row r="617" spans="1:4">
      <c r="A617" t="s">
        <v>663</v>
      </c>
      <c r="B617">
        <v>0.34128</v>
      </c>
      <c r="C617">
        <v>0</v>
      </c>
      <c r="D617">
        <v>0.34128</v>
      </c>
    </row>
    <row r="618" spans="1:4">
      <c r="A618" t="s">
        <v>664</v>
      </c>
      <c r="B618">
        <v>3.643265</v>
      </c>
      <c r="C618">
        <v>0</v>
      </c>
      <c r="D618">
        <v>3.643265</v>
      </c>
    </row>
    <row r="619" spans="1:4">
      <c r="A619" t="s">
        <v>665</v>
      </c>
      <c r="B619">
        <v>0.1944</v>
      </c>
      <c r="C619">
        <v>0</v>
      </c>
      <c r="D619">
        <v>0.1944</v>
      </c>
    </row>
    <row r="620" spans="1:4">
      <c r="A620" t="s">
        <v>666</v>
      </c>
      <c r="B620">
        <v>0.1944</v>
      </c>
      <c r="C620">
        <v>0</v>
      </c>
      <c r="D620">
        <v>0.1944</v>
      </c>
    </row>
    <row r="621" spans="1:4">
      <c r="A621" t="s">
        <v>667</v>
      </c>
      <c r="B621">
        <v>2.39112</v>
      </c>
      <c r="C621">
        <v>0</v>
      </c>
      <c r="D621">
        <v>2.39112</v>
      </c>
    </row>
    <row r="622" spans="1:4">
      <c r="A622" t="s">
        <v>668</v>
      </c>
      <c r="B622">
        <v>0.3888</v>
      </c>
      <c r="C622">
        <v>0.3888</v>
      </c>
      <c r="D622">
        <v>0</v>
      </c>
    </row>
    <row r="623" spans="1:4">
      <c r="A623" t="s">
        <v>669</v>
      </c>
      <c r="B623">
        <v>0.1944</v>
      </c>
      <c r="C623">
        <v>0</v>
      </c>
      <c r="D623">
        <v>0.1944</v>
      </c>
    </row>
    <row r="624" spans="1:4">
      <c r="A624" t="s">
        <v>670</v>
      </c>
      <c r="B624">
        <v>17.389035</v>
      </c>
      <c r="C624">
        <v>0</v>
      </c>
      <c r="D624">
        <v>17.389035</v>
      </c>
    </row>
    <row r="625" spans="1:4">
      <c r="A625" t="s">
        <v>672</v>
      </c>
      <c r="B625">
        <v>0.1944</v>
      </c>
      <c r="C625">
        <v>0</v>
      </c>
      <c r="D625">
        <v>0.1944</v>
      </c>
    </row>
    <row r="626" spans="1:4">
      <c r="A626" t="s">
        <v>673</v>
      </c>
      <c r="B626">
        <v>3.990803</v>
      </c>
      <c r="C626">
        <v>0</v>
      </c>
      <c r="D626">
        <v>3.990803</v>
      </c>
    </row>
    <row r="627" spans="1:4">
      <c r="A627" t="s">
        <v>674</v>
      </c>
      <c r="B627">
        <v>2.28511</v>
      </c>
      <c r="C627">
        <v>2.28511</v>
      </c>
      <c r="D627">
        <v>0</v>
      </c>
    </row>
    <row r="628" spans="1:4">
      <c r="A628" t="s">
        <v>675</v>
      </c>
      <c r="B628">
        <v>0.44424</v>
      </c>
      <c r="C628">
        <v>0</v>
      </c>
      <c r="D628">
        <v>0.44424</v>
      </c>
    </row>
    <row r="629" spans="1:4">
      <c r="A629" t="s">
        <v>676</v>
      </c>
      <c r="B629">
        <v>0.1944</v>
      </c>
      <c r="C629">
        <v>0</v>
      </c>
      <c r="D629">
        <v>0.1944</v>
      </c>
    </row>
    <row r="630" spans="1:4">
      <c r="A630" t="s">
        <v>677</v>
      </c>
      <c r="B630">
        <v>6.652228</v>
      </c>
      <c r="C630">
        <v>0.1944</v>
      </c>
      <c r="D630">
        <v>6.457828</v>
      </c>
    </row>
    <row r="631" spans="1:4">
      <c r="A631" t="s">
        <v>678</v>
      </c>
      <c r="B631">
        <v>0.1944</v>
      </c>
      <c r="C631">
        <v>0</v>
      </c>
      <c r="D631">
        <v>0.1944</v>
      </c>
    </row>
    <row r="632" spans="1:4">
      <c r="A632" t="s">
        <v>679</v>
      </c>
      <c r="B632">
        <v>2.636953</v>
      </c>
      <c r="C632">
        <v>0</v>
      </c>
      <c r="D632">
        <v>2.636953</v>
      </c>
    </row>
    <row r="633" spans="1:4">
      <c r="A633" t="s">
        <v>680</v>
      </c>
      <c r="B633">
        <v>10.468619</v>
      </c>
      <c r="C633">
        <v>0.188055</v>
      </c>
      <c r="D633">
        <v>10.280564</v>
      </c>
    </row>
    <row r="634" spans="1:4">
      <c r="A634" t="s">
        <v>681</v>
      </c>
      <c r="B634">
        <v>1.118812</v>
      </c>
      <c r="C634">
        <v>1.118812</v>
      </c>
      <c r="D634">
        <v>0</v>
      </c>
    </row>
    <row r="635" spans="1:4">
      <c r="A635" t="s">
        <v>682</v>
      </c>
      <c r="B635">
        <v>12.87936</v>
      </c>
      <c r="C635">
        <v>2.081802</v>
      </c>
      <c r="D635">
        <v>10.797558</v>
      </c>
    </row>
    <row r="636" spans="1:4">
      <c r="A636" t="s">
        <v>683</v>
      </c>
      <c r="B636">
        <v>3.59424</v>
      </c>
      <c r="C636">
        <v>3.59424</v>
      </c>
      <c r="D636">
        <v>0</v>
      </c>
    </row>
    <row r="637" spans="1:4">
      <c r="A637" t="s">
        <v>684</v>
      </c>
      <c r="B637">
        <v>10.03104</v>
      </c>
      <c r="C637">
        <v>0</v>
      </c>
      <c r="D637">
        <v>10.03104</v>
      </c>
    </row>
    <row r="638" spans="1:4">
      <c r="A638" t="s">
        <v>685</v>
      </c>
      <c r="B638">
        <v>1.39567</v>
      </c>
      <c r="C638">
        <v>1.39567</v>
      </c>
      <c r="D638">
        <v>0</v>
      </c>
    </row>
    <row r="639" spans="1:4">
      <c r="A639" t="s">
        <v>686</v>
      </c>
      <c r="B639">
        <v>0.5832</v>
      </c>
      <c r="C639">
        <v>0.009315</v>
      </c>
      <c r="D639">
        <v>0.573885</v>
      </c>
    </row>
    <row r="640" spans="1:4">
      <c r="A640" t="s">
        <v>687</v>
      </c>
      <c r="B640">
        <v>0.141577</v>
      </c>
      <c r="C640">
        <v>0.019485</v>
      </c>
      <c r="D640">
        <v>0.122092</v>
      </c>
    </row>
    <row r="641" spans="1:4">
      <c r="A641" t="s">
        <v>688</v>
      </c>
      <c r="B641">
        <v>6.70536</v>
      </c>
      <c r="C641">
        <v>0</v>
      </c>
      <c r="D641">
        <v>6.70536</v>
      </c>
    </row>
    <row r="642" spans="1:4">
      <c r="A642" t="s">
        <v>689</v>
      </c>
      <c r="B642">
        <v>0.1944</v>
      </c>
      <c r="C642">
        <v>0</v>
      </c>
      <c r="D642">
        <v>0.1944</v>
      </c>
    </row>
    <row r="643" spans="1:4">
      <c r="A643" t="s">
        <v>690</v>
      </c>
      <c r="B643">
        <v>1.10304</v>
      </c>
      <c r="C643">
        <v>0</v>
      </c>
      <c r="D643">
        <v>1.10304</v>
      </c>
    </row>
    <row r="644" spans="1:4">
      <c r="A644" t="s">
        <v>691</v>
      </c>
      <c r="B644">
        <v>5.632542</v>
      </c>
      <c r="C644">
        <v>3.906012</v>
      </c>
      <c r="D644">
        <v>1.72653</v>
      </c>
    </row>
    <row r="645" spans="1:4">
      <c r="A645" t="s">
        <v>692</v>
      </c>
      <c r="B645">
        <v>12.176574</v>
      </c>
      <c r="C645">
        <v>5.205429</v>
      </c>
      <c r="D645">
        <v>6.971145</v>
      </c>
    </row>
    <row r="646" spans="1:4">
      <c r="A646" t="s">
        <v>693</v>
      </c>
      <c r="B646">
        <v>3.005975</v>
      </c>
      <c r="C646">
        <v>0</v>
      </c>
      <c r="D646">
        <v>3.005975</v>
      </c>
    </row>
    <row r="647" spans="1:4">
      <c r="A647" t="s">
        <v>694</v>
      </c>
      <c r="B647">
        <v>65.138661</v>
      </c>
      <c r="C647">
        <v>65.08129</v>
      </c>
      <c r="D647">
        <v>0.057371</v>
      </c>
    </row>
    <row r="648" spans="1:4">
      <c r="A648" t="s">
        <v>695</v>
      </c>
      <c r="B648">
        <v>0.1944</v>
      </c>
      <c r="C648">
        <v>0</v>
      </c>
      <c r="D648">
        <v>0.1944</v>
      </c>
    </row>
    <row r="649" spans="1:4">
      <c r="A649" t="s">
        <v>696</v>
      </c>
      <c r="B649">
        <v>8.1648</v>
      </c>
      <c r="C649">
        <v>0</v>
      </c>
      <c r="D649">
        <v>8.1648</v>
      </c>
    </row>
    <row r="650" spans="1:4">
      <c r="A650" t="s">
        <v>697</v>
      </c>
      <c r="B650">
        <v>0.1944</v>
      </c>
      <c r="C650">
        <v>0</v>
      </c>
      <c r="D650">
        <v>0.1944</v>
      </c>
    </row>
    <row r="651" spans="1:4">
      <c r="A651" t="s">
        <v>698</v>
      </c>
      <c r="B651">
        <v>0.1944</v>
      </c>
      <c r="C651">
        <v>0</v>
      </c>
      <c r="D651">
        <v>0.1944</v>
      </c>
    </row>
    <row r="652" spans="1:4">
      <c r="A652" t="s">
        <v>699</v>
      </c>
      <c r="B652">
        <v>21.572504</v>
      </c>
      <c r="C652">
        <v>10.927287</v>
      </c>
      <c r="D652">
        <v>10.645217</v>
      </c>
    </row>
    <row r="653" spans="1:4">
      <c r="A653" t="s">
        <v>700</v>
      </c>
      <c r="B653">
        <v>3.22272</v>
      </c>
      <c r="C653">
        <v>0</v>
      </c>
      <c r="D653">
        <v>3.22272</v>
      </c>
    </row>
    <row r="654" spans="1:4">
      <c r="A654" t="s">
        <v>701</v>
      </c>
      <c r="B654">
        <v>0.1944</v>
      </c>
      <c r="C654">
        <v>0</v>
      </c>
      <c r="D654">
        <v>0.1944</v>
      </c>
    </row>
    <row r="655" spans="1:4">
      <c r="A655" t="s">
        <v>702</v>
      </c>
      <c r="B655">
        <v>0.1944</v>
      </c>
      <c r="C655">
        <v>0</v>
      </c>
      <c r="D655">
        <v>0.1944</v>
      </c>
    </row>
    <row r="656" spans="1:4">
      <c r="A656" t="s">
        <v>703</v>
      </c>
      <c r="B656">
        <v>1.519662</v>
      </c>
      <c r="C656">
        <v>0.04485</v>
      </c>
      <c r="D656">
        <v>1.474812</v>
      </c>
    </row>
    <row r="657" spans="1:4">
      <c r="A657" t="s">
        <v>704</v>
      </c>
      <c r="B657">
        <v>9.530004</v>
      </c>
      <c r="C657">
        <v>0</v>
      </c>
      <c r="D657">
        <v>9.530004</v>
      </c>
    </row>
    <row r="658" spans="1:4">
      <c r="A658" t="s">
        <v>705</v>
      </c>
      <c r="B658">
        <v>2.219558</v>
      </c>
      <c r="C658">
        <v>0</v>
      </c>
      <c r="D658">
        <v>2.219558</v>
      </c>
    </row>
    <row r="659" spans="1:4">
      <c r="A659" t="s">
        <v>706</v>
      </c>
      <c r="B659">
        <v>9.044099</v>
      </c>
      <c r="C659">
        <v>0.149091</v>
      </c>
      <c r="D659">
        <v>8.895008</v>
      </c>
    </row>
    <row r="660" spans="1:4">
      <c r="A660" t="s">
        <v>707</v>
      </c>
      <c r="B660">
        <v>5.78448</v>
      </c>
      <c r="C660">
        <v>4.904961</v>
      </c>
      <c r="D660">
        <v>0.879519</v>
      </c>
    </row>
    <row r="661" spans="1:4">
      <c r="A661" t="s">
        <v>708</v>
      </c>
      <c r="B661">
        <v>1.1016</v>
      </c>
      <c r="C661">
        <v>0</v>
      </c>
      <c r="D661">
        <v>1.1016</v>
      </c>
    </row>
    <row r="662" spans="1:4">
      <c r="A662" t="s">
        <v>709</v>
      </c>
      <c r="B662">
        <v>5.85296</v>
      </c>
      <c r="C662">
        <v>0</v>
      </c>
      <c r="D662">
        <v>5.85296</v>
      </c>
    </row>
    <row r="663" spans="1:4">
      <c r="A663" t="s">
        <v>710</v>
      </c>
      <c r="B663">
        <v>3.59496</v>
      </c>
      <c r="C663">
        <v>3.59496</v>
      </c>
      <c r="D663">
        <v>0</v>
      </c>
    </row>
    <row r="664" spans="1:4">
      <c r="A664" t="s">
        <v>711</v>
      </c>
      <c r="B664">
        <v>0.838193</v>
      </c>
      <c r="C664">
        <v>0.003195</v>
      </c>
      <c r="D664">
        <v>0.834998</v>
      </c>
    </row>
    <row r="665" spans="1:4">
      <c r="A665" t="s">
        <v>712</v>
      </c>
      <c r="B665">
        <v>0.14688</v>
      </c>
      <c r="C665">
        <v>0</v>
      </c>
      <c r="D665">
        <v>0.14688</v>
      </c>
    </row>
    <row r="666" spans="1:4">
      <c r="A666" t="s">
        <v>713</v>
      </c>
      <c r="B666">
        <v>4.0896</v>
      </c>
      <c r="C666">
        <v>3.949846</v>
      </c>
      <c r="D666">
        <v>0.139754</v>
      </c>
    </row>
    <row r="667" spans="1:4">
      <c r="A667" t="s">
        <v>714</v>
      </c>
      <c r="B667">
        <v>491.274836</v>
      </c>
      <c r="C667">
        <v>8.481704</v>
      </c>
      <c r="D667">
        <v>482.793132</v>
      </c>
    </row>
    <row r="668" spans="1:4">
      <c r="A668" t="s">
        <v>716</v>
      </c>
      <c r="B668">
        <v>3.70332</v>
      </c>
      <c r="C668">
        <v>0</v>
      </c>
      <c r="D668">
        <v>3.70332</v>
      </c>
    </row>
    <row r="669" spans="1:4">
      <c r="A669" t="s">
        <v>717</v>
      </c>
      <c r="B669">
        <v>0.1944</v>
      </c>
      <c r="C669">
        <v>0</v>
      </c>
      <c r="D669">
        <v>0.1944</v>
      </c>
    </row>
    <row r="670" spans="1:4">
      <c r="A670" t="s">
        <v>718</v>
      </c>
      <c r="B670">
        <v>28.63423</v>
      </c>
      <c r="C670">
        <v>17.41857</v>
      </c>
      <c r="D670">
        <v>11.21566</v>
      </c>
    </row>
    <row r="671" spans="1:4">
      <c r="A671" t="s">
        <v>719</v>
      </c>
      <c r="B671">
        <v>9.772458</v>
      </c>
      <c r="C671">
        <v>9.772458</v>
      </c>
      <c r="D671">
        <v>0</v>
      </c>
    </row>
    <row r="672" spans="1:4">
      <c r="A672" t="s">
        <v>721</v>
      </c>
      <c r="B672">
        <v>6.8796</v>
      </c>
      <c r="C672">
        <v>5.799885</v>
      </c>
      <c r="D672">
        <v>1.079715</v>
      </c>
    </row>
    <row r="673" spans="1:4">
      <c r="A673" t="s">
        <v>722</v>
      </c>
      <c r="B673">
        <v>0.1944</v>
      </c>
      <c r="C673">
        <v>0</v>
      </c>
      <c r="D673">
        <v>0.1944</v>
      </c>
    </row>
    <row r="674" spans="1:4">
      <c r="A674" t="s">
        <v>723</v>
      </c>
      <c r="B674">
        <v>58.179183</v>
      </c>
      <c r="C674">
        <v>15.86611</v>
      </c>
      <c r="D674">
        <v>42.313073</v>
      </c>
    </row>
    <row r="675" spans="1:4">
      <c r="A675" t="s">
        <v>724</v>
      </c>
      <c r="B675">
        <v>0.3888</v>
      </c>
      <c r="C675">
        <v>0</v>
      </c>
      <c r="D675">
        <v>0.3888</v>
      </c>
    </row>
    <row r="676" spans="1:4">
      <c r="A676" t="s">
        <v>725</v>
      </c>
      <c r="B676">
        <v>14.94216</v>
      </c>
      <c r="C676">
        <v>14.101496</v>
      </c>
      <c r="D676">
        <v>0.840664</v>
      </c>
    </row>
    <row r="677" spans="1:4">
      <c r="A677" t="s">
        <v>726</v>
      </c>
      <c r="B677">
        <v>0.7456</v>
      </c>
      <c r="C677">
        <v>0</v>
      </c>
      <c r="D677">
        <v>0.7456</v>
      </c>
    </row>
    <row r="678" spans="1:4">
      <c r="A678" t="s">
        <v>727</v>
      </c>
      <c r="B678">
        <v>277.946413</v>
      </c>
      <c r="C678">
        <v>277.051095</v>
      </c>
      <c r="D678">
        <v>0.895318</v>
      </c>
    </row>
    <row r="679" spans="1:4">
      <c r="A679" t="s">
        <v>728</v>
      </c>
      <c r="B679">
        <v>8.339591</v>
      </c>
      <c r="C679">
        <v>0</v>
      </c>
      <c r="D679">
        <v>8.339591</v>
      </c>
    </row>
    <row r="680" spans="1:4">
      <c r="A680" t="s">
        <v>729</v>
      </c>
      <c r="B680">
        <v>13.2948</v>
      </c>
      <c r="C680">
        <v>10.23505</v>
      </c>
      <c r="D680">
        <v>3.05975</v>
      </c>
    </row>
    <row r="681" spans="1:4">
      <c r="A681" t="s">
        <v>730</v>
      </c>
      <c r="B681">
        <v>0.1944</v>
      </c>
      <c r="C681">
        <v>0</v>
      </c>
      <c r="D681">
        <v>0.1944</v>
      </c>
    </row>
    <row r="682" spans="1:4">
      <c r="A682" t="s">
        <v>731</v>
      </c>
      <c r="B682">
        <v>16.560786</v>
      </c>
      <c r="C682">
        <v>0.1944</v>
      </c>
      <c r="D682">
        <v>16.366386</v>
      </c>
    </row>
    <row r="683" spans="1:4">
      <c r="A683" t="s">
        <v>732</v>
      </c>
      <c r="B683">
        <v>0.1944</v>
      </c>
      <c r="C683">
        <v>0</v>
      </c>
      <c r="D683">
        <v>0.1944</v>
      </c>
    </row>
    <row r="684" spans="1:4">
      <c r="A684" t="s">
        <v>733</v>
      </c>
      <c r="B684">
        <v>0.341212</v>
      </c>
      <c r="C684">
        <v>0</v>
      </c>
      <c r="D684">
        <v>0.341212</v>
      </c>
    </row>
    <row r="685" spans="1:4">
      <c r="A685" t="s">
        <v>734</v>
      </c>
      <c r="B685">
        <v>11.424858</v>
      </c>
      <c r="C685">
        <v>0</v>
      </c>
      <c r="D685">
        <v>11.424858</v>
      </c>
    </row>
    <row r="686" spans="1:4">
      <c r="A686" t="s">
        <v>735</v>
      </c>
      <c r="B686">
        <v>3.095124</v>
      </c>
      <c r="C686">
        <v>2.170087</v>
      </c>
      <c r="D686">
        <v>0.925037</v>
      </c>
    </row>
    <row r="687" spans="1:4">
      <c r="A687" t="s">
        <v>736</v>
      </c>
      <c r="B687">
        <v>415.190542</v>
      </c>
      <c r="C687">
        <v>7.5</v>
      </c>
      <c r="D687">
        <v>407.690542</v>
      </c>
    </row>
    <row r="688" spans="1:4">
      <c r="A688" t="s">
        <v>737</v>
      </c>
      <c r="B688">
        <v>33.988112</v>
      </c>
      <c r="C688">
        <v>15.171585</v>
      </c>
      <c r="D688">
        <v>18.816527</v>
      </c>
    </row>
    <row r="689" spans="1:4">
      <c r="A689" t="s">
        <v>738</v>
      </c>
      <c r="B689">
        <v>0.34128</v>
      </c>
      <c r="C689">
        <v>0</v>
      </c>
      <c r="D689">
        <v>0.34128</v>
      </c>
    </row>
    <row r="690" spans="1:4">
      <c r="A690" t="s">
        <v>739</v>
      </c>
      <c r="B690">
        <v>6.173144</v>
      </c>
      <c r="C690">
        <v>0</v>
      </c>
      <c r="D690">
        <v>6.173144</v>
      </c>
    </row>
    <row r="691" spans="1:4">
      <c r="A691" t="s">
        <v>740</v>
      </c>
      <c r="B691">
        <v>1.489268</v>
      </c>
      <c r="C691">
        <v>0.08976</v>
      </c>
      <c r="D691">
        <v>1.399508</v>
      </c>
    </row>
    <row r="692" spans="1:4">
      <c r="A692" t="s">
        <v>741</v>
      </c>
      <c r="B692">
        <v>0.054967</v>
      </c>
      <c r="C692">
        <v>0.054967</v>
      </c>
      <c r="D692">
        <v>0</v>
      </c>
    </row>
    <row r="693" spans="1:4">
      <c r="A693" t="s">
        <v>742</v>
      </c>
      <c r="B693">
        <v>0.924378</v>
      </c>
      <c r="C693">
        <v>0.203694</v>
      </c>
      <c r="D693">
        <v>0.720684</v>
      </c>
    </row>
    <row r="694" spans="1:4">
      <c r="A694" t="s">
        <v>743</v>
      </c>
      <c r="B694">
        <v>0.1944</v>
      </c>
      <c r="C694">
        <v>0</v>
      </c>
      <c r="D694">
        <v>0.1944</v>
      </c>
    </row>
    <row r="695" spans="1:4">
      <c r="A695" t="s">
        <v>744</v>
      </c>
      <c r="B695">
        <v>0.1944</v>
      </c>
      <c r="C695">
        <v>0</v>
      </c>
      <c r="D695">
        <v>0.1944</v>
      </c>
    </row>
    <row r="696" spans="1:4">
      <c r="A696" t="s">
        <v>745</v>
      </c>
      <c r="B696">
        <v>61.496994</v>
      </c>
      <c r="C696">
        <v>60.592046</v>
      </c>
      <c r="D696">
        <v>0.904948</v>
      </c>
    </row>
    <row r="697" spans="1:4">
      <c r="A697" t="s">
        <v>746</v>
      </c>
      <c r="B697">
        <v>18.53983</v>
      </c>
      <c r="C697">
        <v>5.259041</v>
      </c>
      <c r="D697">
        <v>13.280789</v>
      </c>
    </row>
    <row r="698" spans="1:4">
      <c r="A698" t="s">
        <v>747</v>
      </c>
      <c r="B698">
        <v>617.800278</v>
      </c>
      <c r="C698">
        <v>14.5</v>
      </c>
      <c r="D698">
        <v>603.300278</v>
      </c>
    </row>
    <row r="699" spans="1:4">
      <c r="A699" t="s">
        <v>749</v>
      </c>
      <c r="B699">
        <v>1.1628</v>
      </c>
      <c r="C699">
        <v>0</v>
      </c>
      <c r="D699">
        <v>1.1628</v>
      </c>
    </row>
    <row r="700" spans="1:4">
      <c r="A700" t="s">
        <v>750</v>
      </c>
      <c r="B700">
        <v>2.090812</v>
      </c>
      <c r="C700">
        <v>0</v>
      </c>
      <c r="D700">
        <v>2.090812</v>
      </c>
    </row>
    <row r="701" spans="1:4">
      <c r="A701" t="s">
        <v>751</v>
      </c>
      <c r="B701">
        <v>6.855432</v>
      </c>
      <c r="C701">
        <v>0</v>
      </c>
      <c r="D701">
        <v>6.855432</v>
      </c>
    </row>
    <row r="702" spans="1:4">
      <c r="A702" t="s">
        <v>752</v>
      </c>
      <c r="B702">
        <v>3787.59907</v>
      </c>
      <c r="C702">
        <v>0</v>
      </c>
      <c r="D702">
        <v>3787.59907</v>
      </c>
    </row>
    <row r="703" spans="1:4">
      <c r="A703" t="s">
        <v>753</v>
      </c>
      <c r="B703">
        <v>35.186607</v>
      </c>
      <c r="C703">
        <v>15.330255</v>
      </c>
      <c r="D703">
        <v>19.856352</v>
      </c>
    </row>
    <row r="704" spans="1:4">
      <c r="A704" t="s">
        <v>754</v>
      </c>
      <c r="B704">
        <v>5.970606</v>
      </c>
      <c r="C704">
        <v>0</v>
      </c>
      <c r="D704">
        <v>5.970606</v>
      </c>
    </row>
    <row r="705" spans="1:4">
      <c r="A705" t="s">
        <v>755</v>
      </c>
      <c r="B705">
        <v>3.732552</v>
      </c>
      <c r="C705">
        <v>0</v>
      </c>
      <c r="D705">
        <v>3.732552</v>
      </c>
    </row>
    <row r="706" spans="1:4">
      <c r="A706" t="s">
        <v>756</v>
      </c>
      <c r="B706">
        <v>0.341178</v>
      </c>
      <c r="C706">
        <v>0</v>
      </c>
      <c r="D706">
        <v>0.341178</v>
      </c>
    </row>
    <row r="707" spans="1:4">
      <c r="A707" t="s">
        <v>757</v>
      </c>
      <c r="B707">
        <v>28.88712</v>
      </c>
      <c r="C707">
        <v>28.88712</v>
      </c>
      <c r="D707">
        <v>0</v>
      </c>
    </row>
    <row r="708" spans="1:4">
      <c r="A708" t="s">
        <v>758</v>
      </c>
      <c r="B708">
        <v>53.229546</v>
      </c>
      <c r="C708">
        <v>7</v>
      </c>
      <c r="D708">
        <v>46.229546</v>
      </c>
    </row>
    <row r="709" spans="1:4">
      <c r="A709" t="s">
        <v>759</v>
      </c>
      <c r="B709">
        <v>15.157315</v>
      </c>
      <c r="C709">
        <v>7.591575</v>
      </c>
      <c r="D709">
        <v>7.56574</v>
      </c>
    </row>
    <row r="710" spans="1:4">
      <c r="A710" t="s">
        <v>760</v>
      </c>
      <c r="B710">
        <v>5.003908</v>
      </c>
      <c r="C710">
        <v>0</v>
      </c>
      <c r="D710">
        <v>5.003908</v>
      </c>
    </row>
    <row r="711" spans="1:4">
      <c r="A711" t="s">
        <v>761</v>
      </c>
      <c r="B711">
        <v>1.81041</v>
      </c>
      <c r="C711">
        <v>0</v>
      </c>
      <c r="D711">
        <v>1.81041</v>
      </c>
    </row>
    <row r="712" spans="1:4">
      <c r="A712" t="s">
        <v>762</v>
      </c>
      <c r="B712">
        <v>1346.318846</v>
      </c>
      <c r="C712">
        <v>7.8888</v>
      </c>
      <c r="D712">
        <v>1338.430046</v>
      </c>
    </row>
    <row r="713" spans="1:4">
      <c r="A713" t="s">
        <v>764</v>
      </c>
      <c r="B713">
        <v>3.47904</v>
      </c>
      <c r="C713">
        <v>2.13098</v>
      </c>
      <c r="D713">
        <v>1.34806</v>
      </c>
    </row>
    <row r="714" spans="1:4">
      <c r="A714" t="s">
        <v>765</v>
      </c>
      <c r="B714">
        <v>0.167294</v>
      </c>
      <c r="C714">
        <v>0</v>
      </c>
      <c r="D714">
        <v>0.167294</v>
      </c>
    </row>
    <row r="715" spans="1:4">
      <c r="A715" t="s">
        <v>766</v>
      </c>
      <c r="B715">
        <v>0.014446</v>
      </c>
      <c r="C715">
        <v>0</v>
      </c>
      <c r="D715">
        <v>0.014446</v>
      </c>
    </row>
    <row r="716" spans="1:4">
      <c r="A716" t="s">
        <v>767</v>
      </c>
      <c r="B716">
        <v>541.010186</v>
      </c>
      <c r="C716">
        <v>7.5</v>
      </c>
      <c r="D716">
        <v>533.510186</v>
      </c>
    </row>
    <row r="717" spans="1:4">
      <c r="A717" t="s">
        <v>769</v>
      </c>
      <c r="B717">
        <v>0.1944</v>
      </c>
      <c r="C717">
        <v>0</v>
      </c>
      <c r="D717">
        <v>0.1944</v>
      </c>
    </row>
    <row r="718" spans="1:4">
      <c r="A718" t="s">
        <v>770</v>
      </c>
      <c r="B718">
        <v>0.1944</v>
      </c>
      <c r="C718">
        <v>0</v>
      </c>
      <c r="D718">
        <v>0.1944</v>
      </c>
    </row>
    <row r="719" spans="1:4">
      <c r="A719" t="s">
        <v>771</v>
      </c>
      <c r="B719">
        <v>0.1944</v>
      </c>
      <c r="C719">
        <v>0.1944</v>
      </c>
      <c r="D719">
        <v>0</v>
      </c>
    </row>
    <row r="720" spans="1:4">
      <c r="A720" t="s">
        <v>772</v>
      </c>
      <c r="B720">
        <v>3.196973</v>
      </c>
      <c r="C720">
        <v>0.283755</v>
      </c>
      <c r="D720">
        <v>2.913218</v>
      </c>
    </row>
    <row r="721" spans="1:4">
      <c r="A721" t="s">
        <v>773</v>
      </c>
      <c r="B721">
        <v>28.9656</v>
      </c>
      <c r="C721">
        <v>0</v>
      </c>
      <c r="D721">
        <v>28.9656</v>
      </c>
    </row>
    <row r="722" spans="1:4">
      <c r="A722" t="s">
        <v>774</v>
      </c>
      <c r="B722">
        <v>0.1944</v>
      </c>
      <c r="C722">
        <v>0.00486</v>
      </c>
      <c r="D722">
        <v>0.18954</v>
      </c>
    </row>
    <row r="723" spans="1:4">
      <c r="A723" t="s">
        <v>775</v>
      </c>
      <c r="B723">
        <v>3.58992</v>
      </c>
      <c r="C723">
        <v>0</v>
      </c>
      <c r="D723">
        <v>3.58992</v>
      </c>
    </row>
    <row r="724" spans="1:4">
      <c r="A724" t="s">
        <v>776</v>
      </c>
      <c r="B724">
        <v>0.1944</v>
      </c>
      <c r="C724">
        <v>0</v>
      </c>
      <c r="D724">
        <v>0.1944</v>
      </c>
    </row>
    <row r="725" spans="1:4">
      <c r="A725" t="s">
        <v>777</v>
      </c>
      <c r="B725">
        <v>6.46575</v>
      </c>
      <c r="C725">
        <v>0</v>
      </c>
      <c r="D725">
        <v>6.46575</v>
      </c>
    </row>
    <row r="726" spans="1:4">
      <c r="A726" t="s">
        <v>778</v>
      </c>
      <c r="B726">
        <v>0.5832</v>
      </c>
      <c r="C726">
        <v>0</v>
      </c>
      <c r="D726">
        <v>0.5832</v>
      </c>
    </row>
    <row r="727" spans="1:4">
      <c r="A727" t="s">
        <v>779</v>
      </c>
      <c r="B727">
        <v>21.554364</v>
      </c>
      <c r="C727">
        <v>2.129154</v>
      </c>
      <c r="D727">
        <v>19.42521</v>
      </c>
    </row>
    <row r="728" spans="1:4">
      <c r="A728" t="s">
        <v>780</v>
      </c>
      <c r="B728">
        <v>1.433205</v>
      </c>
      <c r="C728">
        <v>0.344925</v>
      </c>
      <c r="D728">
        <v>1.08828</v>
      </c>
    </row>
    <row r="729" spans="1:4">
      <c r="A729" t="s">
        <v>781</v>
      </c>
      <c r="B729">
        <v>330.194476</v>
      </c>
      <c r="C729">
        <v>330.194476</v>
      </c>
      <c r="D729">
        <v>0</v>
      </c>
    </row>
    <row r="730" spans="1:4">
      <c r="A730" t="s">
        <v>782</v>
      </c>
      <c r="B730">
        <v>1.42488</v>
      </c>
      <c r="C730">
        <v>1.42488</v>
      </c>
      <c r="D730">
        <v>0</v>
      </c>
    </row>
    <row r="731" spans="1:4">
      <c r="A731" t="s">
        <v>783</v>
      </c>
      <c r="B731">
        <v>11.439678</v>
      </c>
      <c r="C731">
        <v>1.37268</v>
      </c>
      <c r="D731">
        <v>10.066998</v>
      </c>
    </row>
    <row r="732" spans="1:4">
      <c r="A732" t="s">
        <v>784</v>
      </c>
      <c r="B732">
        <v>0.1944</v>
      </c>
      <c r="C732">
        <v>0.1944</v>
      </c>
      <c r="D732">
        <v>0</v>
      </c>
    </row>
    <row r="733" spans="1:4">
      <c r="A733" t="s">
        <v>785</v>
      </c>
      <c r="B733">
        <v>36.114872</v>
      </c>
      <c r="C733">
        <v>4.654105</v>
      </c>
      <c r="D733">
        <v>31.460767</v>
      </c>
    </row>
    <row r="734" spans="1:4">
      <c r="A734" t="s">
        <v>786</v>
      </c>
      <c r="B734">
        <v>1.1664</v>
      </c>
      <c r="C734">
        <v>1.1664</v>
      </c>
      <c r="D734">
        <v>0</v>
      </c>
    </row>
    <row r="735" spans="1:4">
      <c r="A735" t="s">
        <v>787</v>
      </c>
      <c r="B735">
        <v>0.29824</v>
      </c>
      <c r="C735">
        <v>0</v>
      </c>
      <c r="D735">
        <v>0.29824</v>
      </c>
    </row>
    <row r="736" spans="1:4">
      <c r="A736" t="s">
        <v>788</v>
      </c>
      <c r="B736">
        <v>78.913978</v>
      </c>
      <c r="C736">
        <v>0</v>
      </c>
      <c r="D736">
        <v>78.913978</v>
      </c>
    </row>
    <row r="737" spans="1:4">
      <c r="A737" t="s">
        <v>789</v>
      </c>
      <c r="B737">
        <v>96.063726</v>
      </c>
      <c r="C737">
        <v>0.05895</v>
      </c>
      <c r="D737">
        <v>96.004776</v>
      </c>
    </row>
    <row r="738" spans="1:4">
      <c r="A738" t="s">
        <v>790</v>
      </c>
      <c r="B738">
        <v>0.105316</v>
      </c>
      <c r="C738">
        <v>0</v>
      </c>
      <c r="D738">
        <v>0.105316</v>
      </c>
    </row>
    <row r="739" spans="1:4">
      <c r="A739" t="s">
        <v>791</v>
      </c>
      <c r="B739">
        <v>0.139748</v>
      </c>
      <c r="C739">
        <v>0.139748</v>
      </c>
      <c r="D739">
        <v>0</v>
      </c>
    </row>
    <row r="740" spans="1:4">
      <c r="A740" t="s">
        <v>792</v>
      </c>
      <c r="B740">
        <v>4.57056</v>
      </c>
      <c r="C740">
        <v>4.57056</v>
      </c>
      <c r="D740">
        <v>0</v>
      </c>
    </row>
    <row r="741" spans="1:4">
      <c r="A741" t="s">
        <v>793</v>
      </c>
      <c r="B741">
        <v>0.1944</v>
      </c>
      <c r="C741">
        <v>0</v>
      </c>
      <c r="D741">
        <v>0.1944</v>
      </c>
    </row>
    <row r="742" spans="1:4">
      <c r="A742" t="s">
        <v>794</v>
      </c>
      <c r="B742">
        <v>4.309102</v>
      </c>
      <c r="C742">
        <v>0</v>
      </c>
      <c r="D742">
        <v>4.309102</v>
      </c>
    </row>
    <row r="743" spans="1:4">
      <c r="A743" t="s">
        <v>795</v>
      </c>
      <c r="B743">
        <v>0.1944</v>
      </c>
      <c r="C743">
        <v>0</v>
      </c>
      <c r="D743">
        <v>0.1944</v>
      </c>
    </row>
    <row r="744" spans="1:4">
      <c r="A744" t="s">
        <v>796</v>
      </c>
      <c r="B744">
        <v>3.48408</v>
      </c>
      <c r="C744">
        <v>3.48408</v>
      </c>
      <c r="D744">
        <v>0</v>
      </c>
    </row>
    <row r="745" spans="1:4">
      <c r="A745" t="s">
        <v>797</v>
      </c>
      <c r="B745">
        <v>0.1944</v>
      </c>
      <c r="C745">
        <v>0.005355</v>
      </c>
      <c r="D745">
        <v>0.189045</v>
      </c>
    </row>
    <row r="746" spans="1:4">
      <c r="A746" t="s">
        <v>798</v>
      </c>
      <c r="B746">
        <v>1.3608</v>
      </c>
      <c r="C746">
        <v>0.029925</v>
      </c>
      <c r="D746">
        <v>1.330875</v>
      </c>
    </row>
    <row r="747" spans="1:4">
      <c r="A747" t="s">
        <v>799</v>
      </c>
      <c r="B747">
        <v>0.15145</v>
      </c>
      <c r="C747">
        <v>0</v>
      </c>
      <c r="D747">
        <v>0.15145</v>
      </c>
    </row>
    <row r="748" spans="1:4">
      <c r="A748" t="s">
        <v>800</v>
      </c>
      <c r="B748">
        <v>0.5832</v>
      </c>
      <c r="C748">
        <v>0.00567</v>
      </c>
      <c r="D748">
        <v>0.57753</v>
      </c>
    </row>
    <row r="749" spans="1:4">
      <c r="A749" t="s">
        <v>801</v>
      </c>
      <c r="B749">
        <v>56.915856</v>
      </c>
      <c r="C749">
        <v>0</v>
      </c>
      <c r="D749">
        <v>56.915856</v>
      </c>
    </row>
    <row r="750" spans="1:4">
      <c r="A750" t="s">
        <v>802</v>
      </c>
      <c r="B750">
        <v>356.30234</v>
      </c>
      <c r="C750">
        <v>12.244532</v>
      </c>
      <c r="D750">
        <v>344.057808</v>
      </c>
    </row>
    <row r="751" spans="1:4">
      <c r="A751" t="s">
        <v>803</v>
      </c>
      <c r="B751">
        <v>7.26408</v>
      </c>
      <c r="C751">
        <v>4.186935</v>
      </c>
      <c r="D751">
        <v>3.077145</v>
      </c>
    </row>
    <row r="752" spans="1:4">
      <c r="A752" t="s">
        <v>805</v>
      </c>
      <c r="B752">
        <v>0.1944</v>
      </c>
      <c r="C752">
        <v>0</v>
      </c>
      <c r="D752">
        <v>0.1944</v>
      </c>
    </row>
    <row r="753" spans="1:4">
      <c r="A753" t="s">
        <v>806</v>
      </c>
      <c r="B753">
        <v>0.1944</v>
      </c>
      <c r="C753">
        <v>0</v>
      </c>
      <c r="D753">
        <v>0.1944</v>
      </c>
    </row>
    <row r="754" spans="1:4">
      <c r="A754" t="s">
        <v>807</v>
      </c>
      <c r="B754">
        <v>10.147533</v>
      </c>
      <c r="C754">
        <v>0</v>
      </c>
      <c r="D754">
        <v>10.147533</v>
      </c>
    </row>
    <row r="755" spans="1:4">
      <c r="A755" t="s">
        <v>808</v>
      </c>
      <c r="B755">
        <v>258.861614</v>
      </c>
      <c r="C755">
        <v>15.20043</v>
      </c>
      <c r="D755">
        <v>243.661184</v>
      </c>
    </row>
    <row r="756" spans="1:4">
      <c r="A756" t="s">
        <v>809</v>
      </c>
      <c r="B756">
        <v>1.02735</v>
      </c>
      <c r="C756">
        <v>0</v>
      </c>
      <c r="D756">
        <v>1.02735</v>
      </c>
    </row>
    <row r="757" spans="1:4">
      <c r="A757" t="s">
        <v>810</v>
      </c>
      <c r="B757">
        <v>1453.646613</v>
      </c>
      <c r="C757">
        <v>59.353435</v>
      </c>
      <c r="D757">
        <v>1394.293178</v>
      </c>
    </row>
    <row r="758" spans="1:4">
      <c r="A758" t="s">
        <v>812</v>
      </c>
      <c r="B758">
        <v>21.433432</v>
      </c>
      <c r="C758">
        <v>0</v>
      </c>
      <c r="D758">
        <v>21.433432</v>
      </c>
    </row>
    <row r="759" spans="1:4">
      <c r="A759" t="s">
        <v>813</v>
      </c>
      <c r="B759">
        <v>0.765576</v>
      </c>
      <c r="C759">
        <v>0</v>
      </c>
      <c r="D759">
        <v>0.765576</v>
      </c>
    </row>
    <row r="760" spans="1:4">
      <c r="A760" t="s">
        <v>814</v>
      </c>
      <c r="B760">
        <v>8.700344</v>
      </c>
      <c r="C760">
        <v>8.700344</v>
      </c>
      <c r="D760">
        <v>0</v>
      </c>
    </row>
    <row r="761" spans="1:4">
      <c r="A761" t="s">
        <v>815</v>
      </c>
      <c r="B761">
        <v>1.83448</v>
      </c>
      <c r="C761">
        <v>0</v>
      </c>
      <c r="D761">
        <v>1.83448</v>
      </c>
    </row>
    <row r="762" spans="1:4">
      <c r="A762" t="s">
        <v>816</v>
      </c>
      <c r="B762">
        <v>101.980838</v>
      </c>
      <c r="C762">
        <v>0</v>
      </c>
      <c r="D762">
        <v>101.980838</v>
      </c>
    </row>
    <row r="763" spans="1:4">
      <c r="A763" t="s">
        <v>817</v>
      </c>
      <c r="B763">
        <v>5.798722</v>
      </c>
      <c r="C763">
        <v>5.25024</v>
      </c>
      <c r="D763">
        <v>0.548482</v>
      </c>
    </row>
    <row r="764" spans="1:4">
      <c r="A764" t="s">
        <v>818</v>
      </c>
      <c r="B764">
        <v>6.649376</v>
      </c>
      <c r="C764">
        <v>0</v>
      </c>
      <c r="D764">
        <v>6.649376</v>
      </c>
    </row>
    <row r="765" spans="1:4">
      <c r="A765" t="s">
        <v>6</v>
      </c>
      <c r="B765">
        <v>110347.959592</v>
      </c>
      <c r="C765">
        <v>7.5</v>
      </c>
      <c r="D765">
        <v>110340.459592</v>
      </c>
    </row>
    <row r="766" spans="1:4">
      <c r="A766" t="s">
        <v>7</v>
      </c>
      <c r="B766">
        <v>431701.060643999</v>
      </c>
      <c r="C766">
        <v>50774.389135</v>
      </c>
      <c r="D766">
        <v>380926.671509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J1231"/>
  <sheetViews>
    <sheetView tabSelected="1" workbookViewId="0">
      <pane ySplit="1" topLeftCell="A2" activePane="bottomLeft" state="frozen"/>
      <selection/>
      <selection pane="bottomLeft" activeCell="F3" sqref="F3"/>
    </sheetView>
  </sheetViews>
  <sheetFormatPr defaultColWidth="9" defaultRowHeight="14"/>
  <cols>
    <col min="1" max="1" width="12.7272727272727" customWidth="1"/>
    <col min="2" max="2" width="9.09090909090909" customWidth="1"/>
    <col min="3" max="3" width="15.4" customWidth="1"/>
    <col min="4" max="5" width="11.9090909090909" customWidth="1"/>
    <col min="6" max="6" width="29.3909090909091" customWidth="1"/>
    <col min="7" max="7" width="13.8454545454545" customWidth="1"/>
    <col min="8" max="8" width="12.8454545454545" customWidth="1"/>
    <col min="9" max="9" width="16.5454545454545" customWidth="1"/>
    <col min="10" max="10" width="8.40909090909091" customWidth="1"/>
    <col min="11" max="11" width="12.8181818181818"/>
    <col min="13" max="13" width="12.8181818181818"/>
  </cols>
  <sheetData>
    <row r="1" spans="2:10">
      <c r="B1" t="s">
        <v>1</v>
      </c>
      <c r="C1" t="s">
        <v>819</v>
      </c>
      <c r="D1" t="s">
        <v>820</v>
      </c>
      <c r="E1" t="s">
        <v>821</v>
      </c>
      <c r="F1" t="s">
        <v>0</v>
      </c>
      <c r="G1" t="s">
        <v>822</v>
      </c>
      <c r="H1" t="s">
        <v>823</v>
      </c>
      <c r="I1" t="s">
        <v>824</v>
      </c>
      <c r="J1" t="s">
        <v>825</v>
      </c>
    </row>
    <row r="2" spans="2:10">
      <c r="B2" t="s">
        <v>6</v>
      </c>
      <c r="C2" t="s">
        <v>826</v>
      </c>
      <c r="D2" t="s">
        <v>827</v>
      </c>
      <c r="E2" t="s">
        <v>828</v>
      </c>
      <c r="F2" t="s">
        <v>5</v>
      </c>
      <c r="G2" s="26">
        <v>110047.466798</v>
      </c>
      <c r="H2" s="27">
        <v>0</v>
      </c>
      <c r="I2" s="26">
        <v>110047.466798</v>
      </c>
    </row>
    <row r="3" spans="2:10">
      <c r="B3" t="s">
        <v>553</v>
      </c>
      <c r="C3" t="s">
        <v>826</v>
      </c>
      <c r="D3" t="s">
        <v>827</v>
      </c>
      <c r="E3" t="s">
        <v>828</v>
      </c>
      <c r="F3" t="s">
        <v>554</v>
      </c>
      <c r="G3" s="26">
        <v>94301.969356</v>
      </c>
      <c r="H3" s="27">
        <v>0</v>
      </c>
      <c r="I3" s="26">
        <v>94301.969356</v>
      </c>
    </row>
    <row r="4" spans="2:10">
      <c r="B4" t="s">
        <v>579</v>
      </c>
      <c r="C4" t="s">
        <v>826</v>
      </c>
      <c r="D4" t="s">
        <v>827</v>
      </c>
      <c r="E4" t="s">
        <v>828</v>
      </c>
      <c r="F4" t="s">
        <v>580</v>
      </c>
      <c r="G4" s="26">
        <v>52918.688898</v>
      </c>
      <c r="H4" s="27">
        <v>0</v>
      </c>
      <c r="I4" s="26">
        <v>52918.688898</v>
      </c>
    </row>
    <row r="5" spans="2:10">
      <c r="B5" t="s">
        <v>528</v>
      </c>
      <c r="C5" t="s">
        <v>826</v>
      </c>
      <c r="D5" t="s">
        <v>827</v>
      </c>
      <c r="E5" t="s">
        <v>828</v>
      </c>
      <c r="F5" t="s">
        <v>529</v>
      </c>
      <c r="G5" s="26">
        <v>18756.708174</v>
      </c>
      <c r="H5" s="27">
        <v>0</v>
      </c>
      <c r="I5" s="26">
        <v>18756.708174</v>
      </c>
    </row>
    <row r="6" spans="2:10">
      <c r="B6" t="s">
        <v>516</v>
      </c>
      <c r="C6" t="s">
        <v>826</v>
      </c>
      <c r="D6" t="s">
        <v>827</v>
      </c>
      <c r="E6" t="s">
        <v>828</v>
      </c>
      <c r="F6" t="s">
        <v>517</v>
      </c>
      <c r="G6" s="26">
        <v>12722.20455</v>
      </c>
      <c r="H6" s="27">
        <v>0</v>
      </c>
      <c r="I6" s="26">
        <v>12722.20455</v>
      </c>
    </row>
    <row r="7" spans="2:10">
      <c r="B7" t="s">
        <v>99</v>
      </c>
      <c r="C7" t="s">
        <v>829</v>
      </c>
      <c r="D7" t="s">
        <v>827</v>
      </c>
      <c r="E7" t="s">
        <v>830</v>
      </c>
      <c r="G7" s="26">
        <v>8791.037808</v>
      </c>
      <c r="H7" s="27">
        <v>0</v>
      </c>
      <c r="I7" s="26">
        <v>8791.037808</v>
      </c>
    </row>
    <row r="8" spans="2:10">
      <c r="B8" t="s">
        <v>192</v>
      </c>
      <c r="C8" t="s">
        <v>826</v>
      </c>
      <c r="D8" t="s">
        <v>827</v>
      </c>
      <c r="E8" t="s">
        <v>830</v>
      </c>
      <c r="G8" s="26">
        <v>7245.608456</v>
      </c>
      <c r="H8" s="27">
        <v>0</v>
      </c>
      <c r="I8" s="26">
        <v>7245.608456</v>
      </c>
    </row>
    <row r="9" spans="2:10">
      <c r="B9" t="s">
        <v>648</v>
      </c>
      <c r="C9" t="s">
        <v>826</v>
      </c>
      <c r="D9" t="s">
        <v>827</v>
      </c>
      <c r="E9" t="s">
        <v>828</v>
      </c>
      <c r="F9" t="s">
        <v>649</v>
      </c>
      <c r="G9" s="26">
        <v>6117.429403</v>
      </c>
      <c r="H9" s="27">
        <v>0</v>
      </c>
      <c r="I9" s="26">
        <v>6117.429403</v>
      </c>
    </row>
    <row r="10" spans="2:10">
      <c r="B10" t="s">
        <v>187</v>
      </c>
      <c r="C10" t="s">
        <v>826</v>
      </c>
      <c r="D10" t="s">
        <v>827</v>
      </c>
      <c r="E10" t="s">
        <v>830</v>
      </c>
      <c r="G10" s="26">
        <v>6030.90909</v>
      </c>
      <c r="H10" s="27">
        <v>0</v>
      </c>
      <c r="I10" s="26">
        <v>6030.90909</v>
      </c>
    </row>
    <row r="11" spans="2:10">
      <c r="B11" t="s">
        <v>610</v>
      </c>
      <c r="C11" t="s">
        <v>829</v>
      </c>
      <c r="D11" t="s">
        <v>827</v>
      </c>
      <c r="E11" t="s">
        <v>828</v>
      </c>
      <c r="F11" t="s">
        <v>611</v>
      </c>
      <c r="G11" s="26">
        <v>4900.40095</v>
      </c>
      <c r="H11" s="27">
        <v>0</v>
      </c>
      <c r="I11" s="26">
        <v>4900.40095</v>
      </c>
    </row>
    <row r="12" spans="2:10">
      <c r="B12" t="s">
        <v>654</v>
      </c>
      <c r="C12" t="s">
        <v>831</v>
      </c>
      <c r="D12" t="s">
        <v>827</v>
      </c>
      <c r="E12" t="s">
        <v>830</v>
      </c>
      <c r="G12" s="26">
        <v>4794.062608</v>
      </c>
      <c r="H12" s="27">
        <v>0</v>
      </c>
      <c r="I12" s="26">
        <v>4794.062608</v>
      </c>
    </row>
    <row r="13" spans="2:10">
      <c r="B13" t="s">
        <v>102</v>
      </c>
      <c r="C13" t="s">
        <v>829</v>
      </c>
      <c r="D13" t="s">
        <v>827</v>
      </c>
      <c r="E13" t="s">
        <v>828</v>
      </c>
      <c r="F13" t="s">
        <v>103</v>
      </c>
      <c r="G13" s="26">
        <v>4397.732228</v>
      </c>
      <c r="H13" s="27">
        <v>0</v>
      </c>
      <c r="I13" s="26">
        <v>4397.732228</v>
      </c>
    </row>
    <row r="14" spans="2:10">
      <c r="B14" t="s">
        <v>752</v>
      </c>
      <c r="C14" t="s">
        <v>826</v>
      </c>
      <c r="D14" t="s">
        <v>827</v>
      </c>
      <c r="E14" t="s">
        <v>830</v>
      </c>
      <c r="G14" s="26">
        <v>3787.59907</v>
      </c>
      <c r="H14" s="27">
        <v>0</v>
      </c>
      <c r="I14" s="26">
        <v>3787.59907</v>
      </c>
    </row>
    <row r="15" spans="2:10">
      <c r="B15" t="s">
        <v>586</v>
      </c>
      <c r="C15" t="s">
        <v>826</v>
      </c>
      <c r="D15" t="s">
        <v>827</v>
      </c>
      <c r="E15" t="s">
        <v>828</v>
      </c>
      <c r="F15" t="s">
        <v>587</v>
      </c>
      <c r="G15" s="26">
        <v>3725.800231</v>
      </c>
      <c r="H15" s="27">
        <v>0</v>
      </c>
      <c r="I15" s="26">
        <v>3725.800231</v>
      </c>
    </row>
    <row r="16" spans="2:10">
      <c r="B16" t="s">
        <v>370</v>
      </c>
      <c r="C16" t="s">
        <v>826</v>
      </c>
      <c r="D16" t="s">
        <v>827</v>
      </c>
      <c r="E16" t="s">
        <v>830</v>
      </c>
      <c r="G16" s="26">
        <v>3539.835396</v>
      </c>
      <c r="H16" s="27">
        <v>0</v>
      </c>
      <c r="I16" s="26">
        <v>3539.835396</v>
      </c>
    </row>
    <row r="17" spans="2:9">
      <c r="B17" t="s">
        <v>263</v>
      </c>
      <c r="C17" t="s">
        <v>826</v>
      </c>
      <c r="D17" t="s">
        <v>827</v>
      </c>
      <c r="E17" t="s">
        <v>830</v>
      </c>
      <c r="G17" s="26">
        <v>3523.722842</v>
      </c>
      <c r="H17" s="27">
        <v>0</v>
      </c>
      <c r="I17" s="26">
        <v>3523.722842</v>
      </c>
    </row>
    <row r="18" spans="2:9">
      <c r="B18" t="s">
        <v>553</v>
      </c>
      <c r="C18" t="s">
        <v>832</v>
      </c>
      <c r="D18" t="s">
        <v>827</v>
      </c>
      <c r="E18" t="s">
        <v>828</v>
      </c>
      <c r="F18" t="s">
        <v>554</v>
      </c>
      <c r="G18" s="26">
        <v>3200.057526</v>
      </c>
      <c r="H18" s="27">
        <v>9</v>
      </c>
      <c r="I18" s="26">
        <v>3191.057526</v>
      </c>
    </row>
    <row r="19" spans="2:9">
      <c r="B19" t="s">
        <v>562</v>
      </c>
      <c r="C19" t="s">
        <v>826</v>
      </c>
      <c r="D19" t="s">
        <v>827</v>
      </c>
      <c r="E19" t="s">
        <v>828</v>
      </c>
      <c r="F19" t="s">
        <v>563</v>
      </c>
      <c r="G19" s="26">
        <v>2412.454506</v>
      </c>
      <c r="H19" s="27">
        <v>0</v>
      </c>
      <c r="I19" s="26">
        <v>2412.454506</v>
      </c>
    </row>
    <row r="20" spans="2:9">
      <c r="B20" t="s">
        <v>95</v>
      </c>
      <c r="C20" t="s">
        <v>826</v>
      </c>
      <c r="D20" t="s">
        <v>827</v>
      </c>
      <c r="E20" t="s">
        <v>830</v>
      </c>
      <c r="G20" s="26">
        <v>1781.98747</v>
      </c>
      <c r="H20" s="27">
        <v>0</v>
      </c>
      <c r="I20" s="26">
        <v>1781.98747</v>
      </c>
    </row>
    <row r="21" spans="2:9">
      <c r="B21" t="s">
        <v>494</v>
      </c>
      <c r="C21" t="s">
        <v>826</v>
      </c>
      <c r="D21" t="s">
        <v>827</v>
      </c>
      <c r="E21" t="s">
        <v>830</v>
      </c>
      <c r="G21" s="26">
        <v>1453.636672</v>
      </c>
      <c r="H21" s="27">
        <v>0</v>
      </c>
      <c r="I21" s="26">
        <v>1453.636672</v>
      </c>
    </row>
    <row r="22" spans="2:9">
      <c r="B22" t="s">
        <v>112</v>
      </c>
      <c r="C22" t="s">
        <v>826</v>
      </c>
      <c r="D22" t="s">
        <v>827</v>
      </c>
      <c r="E22" t="s">
        <v>830</v>
      </c>
      <c r="G22" s="26">
        <v>1214.363846</v>
      </c>
      <c r="H22" s="27">
        <v>0</v>
      </c>
      <c r="I22" s="26">
        <v>1214.363846</v>
      </c>
    </row>
    <row r="23" spans="2:9">
      <c r="B23" t="s">
        <v>810</v>
      </c>
      <c r="C23" t="s">
        <v>829</v>
      </c>
      <c r="D23" t="s">
        <v>827</v>
      </c>
      <c r="E23" t="s">
        <v>828</v>
      </c>
      <c r="F23" t="s">
        <v>811</v>
      </c>
      <c r="G23" s="26">
        <v>1231.283622</v>
      </c>
      <c r="H23" s="26">
        <v>36.079584</v>
      </c>
      <c r="I23" s="26">
        <v>1195.204038</v>
      </c>
    </row>
    <row r="24" spans="2:9">
      <c r="B24" t="s">
        <v>762</v>
      </c>
      <c r="C24" t="s">
        <v>829</v>
      </c>
      <c r="D24" t="s">
        <v>827</v>
      </c>
      <c r="E24" t="s">
        <v>828</v>
      </c>
      <c r="F24" t="s">
        <v>763</v>
      </c>
      <c r="G24" s="26">
        <v>925.610607</v>
      </c>
      <c r="H24" s="27">
        <v>0</v>
      </c>
      <c r="I24" s="26">
        <v>925.610607</v>
      </c>
    </row>
    <row r="25" spans="2:9">
      <c r="B25" t="s">
        <v>13</v>
      </c>
      <c r="C25" t="s">
        <v>826</v>
      </c>
      <c r="D25" t="s">
        <v>827</v>
      </c>
      <c r="E25" t="s">
        <v>828</v>
      </c>
      <c r="F25" t="s">
        <v>14</v>
      </c>
      <c r="G25" s="26">
        <v>862.20951</v>
      </c>
      <c r="H25" s="27">
        <v>0</v>
      </c>
      <c r="I25" s="26">
        <v>862.20951</v>
      </c>
    </row>
    <row r="26" spans="2:9">
      <c r="B26" t="s">
        <v>306</v>
      </c>
      <c r="C26" t="s">
        <v>826</v>
      </c>
      <c r="D26" t="s">
        <v>827</v>
      </c>
      <c r="E26" t="s">
        <v>830</v>
      </c>
      <c r="G26" s="26">
        <v>821.911694</v>
      </c>
      <c r="H26" s="27">
        <v>0</v>
      </c>
      <c r="I26" s="26">
        <v>821.911694</v>
      </c>
    </row>
    <row r="27" spans="2:9">
      <c r="B27" t="s">
        <v>264</v>
      </c>
      <c r="C27" t="s">
        <v>826</v>
      </c>
      <c r="D27" t="s">
        <v>827</v>
      </c>
      <c r="E27" t="s">
        <v>830</v>
      </c>
      <c r="G27" s="26">
        <v>820.3464</v>
      </c>
      <c r="H27" s="27">
        <v>0</v>
      </c>
      <c r="I27" s="26">
        <v>820.3464</v>
      </c>
    </row>
    <row r="28" spans="2:9">
      <c r="B28" t="s">
        <v>193</v>
      </c>
      <c r="C28" t="s">
        <v>826</v>
      </c>
      <c r="D28" t="s">
        <v>827</v>
      </c>
      <c r="E28" t="s">
        <v>830</v>
      </c>
      <c r="G28" s="26">
        <v>661.170828</v>
      </c>
      <c r="H28" s="27">
        <v>0</v>
      </c>
      <c r="I28" s="26">
        <v>661.170828</v>
      </c>
    </row>
    <row r="29" spans="2:9">
      <c r="B29" t="s">
        <v>183</v>
      </c>
      <c r="C29" t="s">
        <v>826</v>
      </c>
      <c r="D29" t="s">
        <v>827</v>
      </c>
      <c r="E29" t="s">
        <v>830</v>
      </c>
      <c r="G29" s="26">
        <v>543.904016</v>
      </c>
      <c r="H29" s="27">
        <v>0</v>
      </c>
      <c r="I29" s="26">
        <v>543.904016</v>
      </c>
    </row>
    <row r="30" spans="2:9">
      <c r="B30" t="s">
        <v>271</v>
      </c>
      <c r="C30" t="s">
        <v>826</v>
      </c>
      <c r="D30" t="s">
        <v>827</v>
      </c>
      <c r="E30" t="s">
        <v>828</v>
      </c>
      <c r="F30" t="s">
        <v>272</v>
      </c>
      <c r="G30" s="26">
        <v>538.417798</v>
      </c>
      <c r="H30" s="27">
        <v>0</v>
      </c>
      <c r="I30" s="26">
        <v>538.417798</v>
      </c>
    </row>
    <row r="31" spans="2:9">
      <c r="B31" t="s">
        <v>498</v>
      </c>
      <c r="C31" t="s">
        <v>826</v>
      </c>
      <c r="D31" t="s">
        <v>827</v>
      </c>
      <c r="E31" t="s">
        <v>830</v>
      </c>
      <c r="G31" s="26">
        <v>517.436076</v>
      </c>
      <c r="H31" s="27">
        <v>0</v>
      </c>
      <c r="I31" s="26">
        <v>517.436076</v>
      </c>
    </row>
    <row r="32" spans="2:9">
      <c r="B32" t="s">
        <v>239</v>
      </c>
      <c r="C32" t="s">
        <v>829</v>
      </c>
      <c r="D32" t="s">
        <v>827</v>
      </c>
      <c r="E32" t="s">
        <v>830</v>
      </c>
      <c r="G32" s="26">
        <v>504.422823</v>
      </c>
      <c r="H32" s="27">
        <v>0</v>
      </c>
      <c r="I32" s="26">
        <v>504.422823</v>
      </c>
    </row>
    <row r="33" spans="2:9">
      <c r="B33" t="s">
        <v>714</v>
      </c>
      <c r="C33" t="s">
        <v>826</v>
      </c>
      <c r="D33" t="s">
        <v>827</v>
      </c>
      <c r="E33" t="s">
        <v>828</v>
      </c>
      <c r="F33" t="s">
        <v>715</v>
      </c>
      <c r="G33" s="26">
        <v>475.368395</v>
      </c>
      <c r="H33" s="27">
        <v>0</v>
      </c>
      <c r="I33" s="26">
        <v>475.368395</v>
      </c>
    </row>
    <row r="34" spans="2:9">
      <c r="B34" t="s">
        <v>747</v>
      </c>
      <c r="C34" t="s">
        <v>829</v>
      </c>
      <c r="D34" t="s">
        <v>827</v>
      </c>
      <c r="E34" t="s">
        <v>828</v>
      </c>
      <c r="F34" t="s">
        <v>748</v>
      </c>
      <c r="G34" s="26">
        <v>471.90334</v>
      </c>
      <c r="H34" s="27">
        <v>0</v>
      </c>
      <c r="I34" s="26">
        <v>471.90334</v>
      </c>
    </row>
    <row r="35" spans="2:9">
      <c r="B35" t="s">
        <v>13</v>
      </c>
      <c r="C35" t="s">
        <v>833</v>
      </c>
      <c r="D35" t="s">
        <v>827</v>
      </c>
      <c r="E35" t="s">
        <v>828</v>
      </c>
      <c r="F35" t="s">
        <v>14</v>
      </c>
      <c r="G35" s="26">
        <v>457.221382</v>
      </c>
      <c r="H35" s="27">
        <v>7</v>
      </c>
      <c r="I35" s="26">
        <v>450.221382</v>
      </c>
    </row>
    <row r="36" spans="2:9">
      <c r="B36" t="s">
        <v>195</v>
      </c>
      <c r="C36" t="s">
        <v>829</v>
      </c>
      <c r="D36" t="s">
        <v>827</v>
      </c>
      <c r="E36" t="s">
        <v>830</v>
      </c>
      <c r="G36" s="26">
        <v>429.604619</v>
      </c>
      <c r="H36" s="27">
        <v>0</v>
      </c>
      <c r="I36" s="26">
        <v>429.604619</v>
      </c>
    </row>
    <row r="37" spans="2:9">
      <c r="B37" t="s">
        <v>767</v>
      </c>
      <c r="C37" t="s">
        <v>826</v>
      </c>
      <c r="D37" t="s">
        <v>827</v>
      </c>
      <c r="E37" t="s">
        <v>828</v>
      </c>
      <c r="F37" t="s">
        <v>768</v>
      </c>
      <c r="G37" s="26">
        <v>426.354118</v>
      </c>
      <c r="H37" s="27">
        <v>0</v>
      </c>
      <c r="I37" s="26">
        <v>426.354118</v>
      </c>
    </row>
    <row r="38" spans="2:9">
      <c r="B38" t="s">
        <v>170</v>
      </c>
      <c r="C38" t="s">
        <v>829</v>
      </c>
      <c r="D38" t="s">
        <v>827</v>
      </c>
      <c r="E38" t="s">
        <v>828</v>
      </c>
      <c r="F38" t="s">
        <v>171</v>
      </c>
      <c r="G38" s="26">
        <v>370.855349</v>
      </c>
      <c r="H38" s="27">
        <v>0</v>
      </c>
      <c r="I38" s="26">
        <v>370.855349</v>
      </c>
    </row>
    <row r="39" spans="2:9">
      <c r="B39" t="s">
        <v>351</v>
      </c>
      <c r="C39" t="s">
        <v>829</v>
      </c>
      <c r="D39" t="s">
        <v>827</v>
      </c>
      <c r="E39" t="s">
        <v>830</v>
      </c>
      <c r="G39" s="26">
        <v>350.051436</v>
      </c>
      <c r="H39" s="27">
        <v>0</v>
      </c>
      <c r="I39" s="26">
        <v>350.051436</v>
      </c>
    </row>
    <row r="40" spans="2:9">
      <c r="B40" t="s">
        <v>762</v>
      </c>
      <c r="C40" t="s">
        <v>826</v>
      </c>
      <c r="D40" t="s">
        <v>827</v>
      </c>
      <c r="E40" t="s">
        <v>828</v>
      </c>
      <c r="F40" t="s">
        <v>763</v>
      </c>
      <c r="G40" s="26">
        <v>324.787088</v>
      </c>
      <c r="H40" s="27">
        <v>0</v>
      </c>
      <c r="I40" s="26">
        <v>324.787088</v>
      </c>
    </row>
    <row r="41" spans="2:9">
      <c r="B41" t="s">
        <v>736</v>
      </c>
      <c r="C41" t="s">
        <v>829</v>
      </c>
      <c r="D41" t="s">
        <v>827</v>
      </c>
      <c r="E41" t="s">
        <v>830</v>
      </c>
      <c r="G41" s="26">
        <v>323.159202</v>
      </c>
      <c r="H41" s="27">
        <v>0</v>
      </c>
      <c r="I41" s="26">
        <v>323.159202</v>
      </c>
    </row>
    <row r="42" spans="2:9">
      <c r="B42" t="s">
        <v>616</v>
      </c>
      <c r="C42" t="s">
        <v>833</v>
      </c>
      <c r="D42" t="s">
        <v>827</v>
      </c>
      <c r="E42" t="s">
        <v>828</v>
      </c>
      <c r="F42" t="s">
        <v>617</v>
      </c>
      <c r="G42" s="26">
        <v>327.840561</v>
      </c>
      <c r="H42" s="27">
        <v>7</v>
      </c>
      <c r="I42" s="26">
        <v>320.840561</v>
      </c>
    </row>
    <row r="43" spans="2:9">
      <c r="B43" t="s">
        <v>802</v>
      </c>
      <c r="C43" t="s">
        <v>829</v>
      </c>
      <c r="D43" t="s">
        <v>827</v>
      </c>
      <c r="E43" t="s">
        <v>830</v>
      </c>
      <c r="G43" s="26">
        <v>306.885698</v>
      </c>
      <c r="H43" s="27">
        <v>0</v>
      </c>
      <c r="I43" s="26">
        <v>306.885698</v>
      </c>
    </row>
    <row r="44" spans="2:9">
      <c r="B44" t="s">
        <v>516</v>
      </c>
      <c r="C44" t="s">
        <v>834</v>
      </c>
      <c r="D44" t="s">
        <v>827</v>
      </c>
      <c r="E44" t="s">
        <v>828</v>
      </c>
      <c r="F44" t="s">
        <v>517</v>
      </c>
      <c r="G44" s="26">
        <v>302.370479</v>
      </c>
      <c r="H44" s="26">
        <v>7.5</v>
      </c>
      <c r="I44" s="26">
        <v>294.870479</v>
      </c>
    </row>
    <row r="45" spans="2:9">
      <c r="B45" t="s">
        <v>276</v>
      </c>
      <c r="C45" t="s">
        <v>826</v>
      </c>
      <c r="D45" t="s">
        <v>827</v>
      </c>
      <c r="E45" t="s">
        <v>830</v>
      </c>
      <c r="G45" s="26">
        <v>290.149308</v>
      </c>
      <c r="H45" s="27">
        <v>0</v>
      </c>
      <c r="I45" s="26">
        <v>290.149308</v>
      </c>
    </row>
    <row r="46" spans="2:9">
      <c r="B46" t="s">
        <v>281</v>
      </c>
      <c r="C46" t="s">
        <v>829</v>
      </c>
      <c r="D46" t="s">
        <v>827</v>
      </c>
      <c r="E46" t="s">
        <v>830</v>
      </c>
      <c r="G46" s="26">
        <v>289.88928</v>
      </c>
      <c r="H46" s="27">
        <v>0</v>
      </c>
      <c r="I46" s="26">
        <v>289.88928</v>
      </c>
    </row>
    <row r="47" spans="2:9">
      <c r="B47" t="s">
        <v>435</v>
      </c>
      <c r="C47" t="s">
        <v>829</v>
      </c>
      <c r="D47" t="s">
        <v>827</v>
      </c>
      <c r="E47" t="s">
        <v>830</v>
      </c>
      <c r="G47" s="26">
        <v>288.369492</v>
      </c>
      <c r="H47" s="27">
        <v>0</v>
      </c>
      <c r="I47" s="26">
        <v>288.369492</v>
      </c>
    </row>
    <row r="48" spans="2:9">
      <c r="B48" t="s">
        <v>246</v>
      </c>
      <c r="C48" t="s">
        <v>826</v>
      </c>
      <c r="D48" t="s">
        <v>827</v>
      </c>
      <c r="E48" t="s">
        <v>828</v>
      </c>
      <c r="F48" t="s">
        <v>247</v>
      </c>
      <c r="G48" s="26">
        <v>253.807832</v>
      </c>
      <c r="H48" s="27">
        <v>0</v>
      </c>
      <c r="I48" s="26">
        <v>253.807832</v>
      </c>
    </row>
    <row r="49" spans="2:9">
      <c r="B49" t="s">
        <v>368</v>
      </c>
      <c r="C49" t="s">
        <v>826</v>
      </c>
      <c r="D49" t="s">
        <v>827</v>
      </c>
      <c r="E49" t="s">
        <v>830</v>
      </c>
      <c r="G49" s="26">
        <v>246.471588</v>
      </c>
      <c r="H49" s="27">
        <v>0</v>
      </c>
      <c r="I49" s="26">
        <v>246.471588</v>
      </c>
    </row>
    <row r="50" spans="2:9">
      <c r="B50" t="s">
        <v>212</v>
      </c>
      <c r="C50" t="s">
        <v>829</v>
      </c>
      <c r="D50" t="s">
        <v>827</v>
      </c>
      <c r="E50" t="s">
        <v>830</v>
      </c>
      <c r="G50" s="26">
        <v>244.192322</v>
      </c>
      <c r="H50" s="27">
        <v>0</v>
      </c>
      <c r="I50" s="26">
        <v>244.192322</v>
      </c>
    </row>
    <row r="51" spans="2:9">
      <c r="B51" t="s">
        <v>579</v>
      </c>
      <c r="C51" t="s">
        <v>834</v>
      </c>
      <c r="D51" t="s">
        <v>827</v>
      </c>
      <c r="E51" t="s">
        <v>828</v>
      </c>
      <c r="F51" t="s">
        <v>580</v>
      </c>
      <c r="G51" s="27">
        <v>244.999343</v>
      </c>
      <c r="H51" s="26">
        <v>7.5</v>
      </c>
      <c r="I51" s="26">
        <v>237.499343</v>
      </c>
    </row>
    <row r="52" spans="2:9">
      <c r="B52" t="s">
        <v>808</v>
      </c>
      <c r="C52" t="s">
        <v>829</v>
      </c>
      <c r="D52" t="s">
        <v>827</v>
      </c>
      <c r="E52" t="s">
        <v>830</v>
      </c>
      <c r="G52" s="26">
        <v>215.315766</v>
      </c>
      <c r="H52" s="27">
        <v>0</v>
      </c>
      <c r="I52" s="26">
        <v>215.315766</v>
      </c>
    </row>
    <row r="53" spans="2:9">
      <c r="B53" t="s">
        <v>319</v>
      </c>
      <c r="C53" t="s">
        <v>829</v>
      </c>
      <c r="D53" t="s">
        <v>827</v>
      </c>
      <c r="E53" t="s">
        <v>830</v>
      </c>
      <c r="G53" s="26">
        <v>214.083429</v>
      </c>
      <c r="H53" s="27">
        <v>0</v>
      </c>
      <c r="I53" s="26">
        <v>214.083429</v>
      </c>
    </row>
    <row r="54" spans="2:9">
      <c r="B54" t="s">
        <v>384</v>
      </c>
      <c r="C54" t="s">
        <v>829</v>
      </c>
      <c r="D54" t="s">
        <v>827</v>
      </c>
      <c r="E54" t="s">
        <v>830</v>
      </c>
      <c r="G54" s="26">
        <v>211.045808</v>
      </c>
      <c r="H54" s="27">
        <v>0</v>
      </c>
      <c r="I54" s="26">
        <v>211.045808</v>
      </c>
    </row>
    <row r="55" spans="2:9">
      <c r="B55" t="s">
        <v>308</v>
      </c>
      <c r="C55" t="s">
        <v>829</v>
      </c>
      <c r="D55" t="s">
        <v>827</v>
      </c>
      <c r="E55" t="s">
        <v>830</v>
      </c>
      <c r="G55" s="26">
        <v>215.513159</v>
      </c>
      <c r="H55" s="27">
        <v>10</v>
      </c>
      <c r="I55" s="26">
        <v>205.513159</v>
      </c>
    </row>
    <row r="56" spans="2:9">
      <c r="B56" t="s">
        <v>234</v>
      </c>
      <c r="C56" t="s">
        <v>829</v>
      </c>
      <c r="D56" t="s">
        <v>827</v>
      </c>
      <c r="E56" t="s">
        <v>830</v>
      </c>
      <c r="G56" s="26">
        <v>200.11909</v>
      </c>
      <c r="H56" s="27">
        <v>0</v>
      </c>
      <c r="I56" s="26">
        <v>200.11909</v>
      </c>
    </row>
    <row r="57" spans="2:9">
      <c r="B57" t="s">
        <v>586</v>
      </c>
      <c r="C57" t="s">
        <v>834</v>
      </c>
      <c r="D57" t="s">
        <v>827</v>
      </c>
      <c r="E57" t="s">
        <v>828</v>
      </c>
      <c r="F57" t="s">
        <v>587</v>
      </c>
      <c r="G57" s="26">
        <v>180.80208</v>
      </c>
      <c r="H57" s="26">
        <v>7.5</v>
      </c>
      <c r="I57" s="26">
        <v>173.30208</v>
      </c>
    </row>
    <row r="58" spans="2:9">
      <c r="B58" t="s">
        <v>6</v>
      </c>
      <c r="C58" t="s">
        <v>834</v>
      </c>
      <c r="D58" t="s">
        <v>827</v>
      </c>
      <c r="E58" t="s">
        <v>828</v>
      </c>
      <c r="F58" t="s">
        <v>5</v>
      </c>
      <c r="G58" s="26">
        <v>178.153775</v>
      </c>
      <c r="H58" s="26">
        <v>7.5</v>
      </c>
      <c r="I58" s="26">
        <v>170.653775</v>
      </c>
    </row>
    <row r="59" spans="2:9">
      <c r="B59" t="s">
        <v>337</v>
      </c>
      <c r="C59" t="s">
        <v>829</v>
      </c>
      <c r="D59" t="s">
        <v>827</v>
      </c>
      <c r="E59" t="s">
        <v>830</v>
      </c>
      <c r="G59" s="26">
        <v>167.05233</v>
      </c>
      <c r="H59" s="27">
        <v>0</v>
      </c>
      <c r="I59" s="26">
        <v>167.05233</v>
      </c>
    </row>
    <row r="60" spans="2:9">
      <c r="B60" t="s">
        <v>211</v>
      </c>
      <c r="C60" t="s">
        <v>829</v>
      </c>
      <c r="D60" t="s">
        <v>827</v>
      </c>
      <c r="E60" t="s">
        <v>830</v>
      </c>
      <c r="G60" s="26">
        <v>161.344614</v>
      </c>
      <c r="H60" s="27">
        <v>0</v>
      </c>
      <c r="I60" s="26">
        <v>161.344614</v>
      </c>
    </row>
    <row r="61" spans="2:9">
      <c r="B61" t="s">
        <v>405</v>
      </c>
      <c r="C61" t="s">
        <v>826</v>
      </c>
      <c r="D61" t="s">
        <v>827</v>
      </c>
      <c r="E61" t="s">
        <v>830</v>
      </c>
      <c r="G61" s="26">
        <v>170.90869</v>
      </c>
      <c r="H61" s="27">
        <v>10</v>
      </c>
      <c r="I61" s="26">
        <v>160.90869</v>
      </c>
    </row>
    <row r="62" spans="2:9">
      <c r="B62" t="s">
        <v>429</v>
      </c>
      <c r="C62" t="s">
        <v>829</v>
      </c>
      <c r="D62" t="s">
        <v>827</v>
      </c>
      <c r="E62" t="s">
        <v>830</v>
      </c>
      <c r="G62" s="26">
        <v>160.868792</v>
      </c>
      <c r="H62" s="27">
        <v>0</v>
      </c>
      <c r="I62" s="26">
        <v>160.868792</v>
      </c>
    </row>
    <row r="63" spans="2:9">
      <c r="B63" t="s">
        <v>322</v>
      </c>
      <c r="C63" t="s">
        <v>829</v>
      </c>
      <c r="D63" t="s">
        <v>827</v>
      </c>
      <c r="E63" t="s">
        <v>830</v>
      </c>
      <c r="G63" s="26">
        <v>165.798768</v>
      </c>
      <c r="H63" s="27">
        <v>10</v>
      </c>
      <c r="I63" s="26">
        <v>155.798768</v>
      </c>
    </row>
    <row r="64" spans="2:9">
      <c r="B64" t="s">
        <v>616</v>
      </c>
      <c r="C64" t="s">
        <v>834</v>
      </c>
      <c r="D64" t="s">
        <v>827</v>
      </c>
      <c r="E64" t="s">
        <v>828</v>
      </c>
      <c r="F64" t="s">
        <v>617</v>
      </c>
      <c r="G64" s="26">
        <v>160.338662</v>
      </c>
      <c r="H64" s="26">
        <v>7.5</v>
      </c>
      <c r="I64" s="26">
        <v>152.838662</v>
      </c>
    </row>
    <row r="65" spans="2:9">
      <c r="B65" t="s">
        <v>260</v>
      </c>
      <c r="C65" t="s">
        <v>829</v>
      </c>
      <c r="D65" t="s">
        <v>827</v>
      </c>
      <c r="E65" t="s">
        <v>830</v>
      </c>
      <c r="G65" s="26">
        <v>145.983038</v>
      </c>
      <c r="H65" s="27">
        <v>0</v>
      </c>
      <c r="I65" s="26">
        <v>145.983038</v>
      </c>
    </row>
    <row r="66" spans="2:9">
      <c r="B66" t="s">
        <v>138</v>
      </c>
      <c r="C66" t="s">
        <v>834</v>
      </c>
      <c r="D66" t="s">
        <v>827</v>
      </c>
      <c r="E66" t="s">
        <v>828</v>
      </c>
      <c r="F66" t="s">
        <v>139</v>
      </c>
      <c r="G66" s="26">
        <v>152.013448</v>
      </c>
      <c r="H66" s="26">
        <v>7.5</v>
      </c>
      <c r="I66" s="26">
        <v>144.513448</v>
      </c>
    </row>
    <row r="67" spans="2:9">
      <c r="B67" t="s">
        <v>17</v>
      </c>
      <c r="C67" t="s">
        <v>829</v>
      </c>
      <c r="D67" t="s">
        <v>827</v>
      </c>
      <c r="E67" t="s">
        <v>830</v>
      </c>
      <c r="G67" s="26">
        <v>144.13846</v>
      </c>
      <c r="H67" s="27">
        <v>0</v>
      </c>
      <c r="I67" s="26">
        <v>144.13846</v>
      </c>
    </row>
    <row r="68" spans="2:9">
      <c r="B68" t="s">
        <v>294</v>
      </c>
      <c r="C68" t="s">
        <v>829</v>
      </c>
      <c r="D68" t="s">
        <v>827</v>
      </c>
      <c r="E68" t="s">
        <v>830</v>
      </c>
      <c r="G68" s="26">
        <v>150.578163</v>
      </c>
      <c r="H68" s="27">
        <v>10</v>
      </c>
      <c r="I68" s="26">
        <v>140.578163</v>
      </c>
    </row>
    <row r="69" spans="2:9">
      <c r="B69" t="s">
        <v>291</v>
      </c>
      <c r="C69" t="s">
        <v>829</v>
      </c>
      <c r="D69" t="s">
        <v>827</v>
      </c>
      <c r="E69" t="s">
        <v>830</v>
      </c>
      <c r="G69" s="26">
        <v>159.281596</v>
      </c>
      <c r="H69" s="27">
        <v>20</v>
      </c>
      <c r="I69" s="26">
        <v>139.281596</v>
      </c>
    </row>
    <row r="70" spans="2:9">
      <c r="B70" t="s">
        <v>248</v>
      </c>
      <c r="C70" t="s">
        <v>826</v>
      </c>
      <c r="D70" t="s">
        <v>827</v>
      </c>
      <c r="E70" t="s">
        <v>830</v>
      </c>
      <c r="G70" s="26">
        <v>137.173624</v>
      </c>
      <c r="H70" s="27">
        <v>0</v>
      </c>
      <c r="I70" s="26">
        <v>137.173624</v>
      </c>
    </row>
    <row r="71" spans="2:9">
      <c r="B71" t="s">
        <v>616</v>
      </c>
      <c r="C71" t="s">
        <v>829</v>
      </c>
      <c r="D71" t="s">
        <v>827</v>
      </c>
      <c r="E71" t="s">
        <v>828</v>
      </c>
      <c r="F71" t="s">
        <v>617</v>
      </c>
      <c r="G71" s="26">
        <v>133.907084</v>
      </c>
      <c r="H71" s="27">
        <v>0</v>
      </c>
      <c r="I71" s="26">
        <v>133.907084</v>
      </c>
    </row>
    <row r="72" spans="2:9">
      <c r="B72" t="s">
        <v>349</v>
      </c>
      <c r="C72" t="s">
        <v>826</v>
      </c>
      <c r="D72" t="s">
        <v>827</v>
      </c>
      <c r="E72" t="s">
        <v>830</v>
      </c>
      <c r="G72" s="26">
        <v>128.736376</v>
      </c>
      <c r="H72" s="27">
        <v>0</v>
      </c>
      <c r="I72" s="26">
        <v>128.736376</v>
      </c>
    </row>
    <row r="73" spans="2:9">
      <c r="B73" t="s">
        <v>6</v>
      </c>
      <c r="C73" t="s">
        <v>831</v>
      </c>
      <c r="D73" t="s">
        <v>827</v>
      </c>
      <c r="E73" t="s">
        <v>828</v>
      </c>
      <c r="F73" t="s">
        <v>5</v>
      </c>
      <c r="G73" s="26">
        <v>122.339019</v>
      </c>
      <c r="H73" s="27">
        <v>0</v>
      </c>
      <c r="I73" s="26">
        <v>122.339019</v>
      </c>
    </row>
    <row r="74" spans="2:9">
      <c r="B74" t="s">
        <v>654</v>
      </c>
      <c r="C74" t="s">
        <v>826</v>
      </c>
      <c r="D74" t="s">
        <v>827</v>
      </c>
      <c r="E74" t="s">
        <v>830</v>
      </c>
      <c r="G74" s="26">
        <v>121.70522</v>
      </c>
      <c r="H74" s="27">
        <v>0</v>
      </c>
      <c r="I74" s="26">
        <v>121.70522</v>
      </c>
    </row>
    <row r="75" spans="2:9">
      <c r="B75" t="s">
        <v>553</v>
      </c>
      <c r="C75" t="s">
        <v>834</v>
      </c>
      <c r="D75" t="s">
        <v>827</v>
      </c>
      <c r="E75" t="s">
        <v>828</v>
      </c>
      <c r="F75" t="s">
        <v>554</v>
      </c>
      <c r="G75" s="26">
        <v>126.010199</v>
      </c>
      <c r="H75" s="26">
        <v>7.5</v>
      </c>
      <c r="I75" s="26">
        <v>118.510199</v>
      </c>
    </row>
    <row r="76" spans="2:9">
      <c r="B76" t="s">
        <v>648</v>
      </c>
      <c r="C76" t="s">
        <v>829</v>
      </c>
      <c r="D76" t="s">
        <v>827</v>
      </c>
      <c r="E76" t="s">
        <v>828</v>
      </c>
      <c r="F76" t="s">
        <v>649</v>
      </c>
      <c r="G76" s="26">
        <v>112.948095</v>
      </c>
      <c r="H76" s="27">
        <v>0</v>
      </c>
      <c r="I76" s="26">
        <v>112.948095</v>
      </c>
    </row>
    <row r="77" spans="2:9">
      <c r="B77" t="s">
        <v>648</v>
      </c>
      <c r="C77" t="s">
        <v>832</v>
      </c>
      <c r="D77" t="s">
        <v>827</v>
      </c>
      <c r="E77" t="s">
        <v>828</v>
      </c>
      <c r="F77" t="s">
        <v>649</v>
      </c>
      <c r="G77" s="26">
        <v>116.797004</v>
      </c>
      <c r="H77" s="27">
        <v>9</v>
      </c>
      <c r="I77" s="26">
        <v>107.797004</v>
      </c>
    </row>
    <row r="78" spans="2:9">
      <c r="B78" t="s">
        <v>810</v>
      </c>
      <c r="C78" t="s">
        <v>834</v>
      </c>
      <c r="D78" t="s">
        <v>827</v>
      </c>
      <c r="E78" t="s">
        <v>828</v>
      </c>
      <c r="F78" t="s">
        <v>811</v>
      </c>
      <c r="G78" s="26">
        <v>121.770985</v>
      </c>
      <c r="H78" s="26">
        <v>14.042578</v>
      </c>
      <c r="I78" s="26">
        <v>107.728407</v>
      </c>
    </row>
    <row r="79" spans="2:9">
      <c r="B79" t="s">
        <v>767</v>
      </c>
      <c r="C79" t="s">
        <v>834</v>
      </c>
      <c r="D79" t="s">
        <v>827</v>
      </c>
      <c r="E79" t="s">
        <v>828</v>
      </c>
      <c r="F79" t="s">
        <v>768</v>
      </c>
      <c r="G79" s="26">
        <v>114.656068</v>
      </c>
      <c r="H79" s="26">
        <v>7.5</v>
      </c>
      <c r="I79" s="26">
        <v>107.156068</v>
      </c>
    </row>
    <row r="80" spans="2:9">
      <c r="B80" t="s">
        <v>126</v>
      </c>
      <c r="C80" t="s">
        <v>829</v>
      </c>
      <c r="D80" t="s">
        <v>827</v>
      </c>
      <c r="E80" t="s">
        <v>830</v>
      </c>
      <c r="G80" s="26">
        <v>106.549049</v>
      </c>
      <c r="H80" s="27">
        <v>0</v>
      </c>
      <c r="I80" s="26">
        <v>106.549049</v>
      </c>
    </row>
    <row r="81" spans="2:9">
      <c r="B81" t="s">
        <v>816</v>
      </c>
      <c r="C81" t="s">
        <v>829</v>
      </c>
      <c r="D81" t="s">
        <v>827</v>
      </c>
      <c r="E81" t="s">
        <v>830</v>
      </c>
      <c r="G81" s="26">
        <v>101.980838</v>
      </c>
      <c r="H81" s="27">
        <v>0</v>
      </c>
      <c r="I81" s="26">
        <v>101.980838</v>
      </c>
    </row>
    <row r="82" spans="2:9">
      <c r="B82" t="s">
        <v>789</v>
      </c>
      <c r="C82" t="s">
        <v>829</v>
      </c>
      <c r="D82" t="s">
        <v>827</v>
      </c>
      <c r="E82" t="s">
        <v>830</v>
      </c>
      <c r="G82" s="26">
        <v>95.674926</v>
      </c>
      <c r="H82" s="27">
        <v>0</v>
      </c>
      <c r="I82" s="26">
        <v>95.674926</v>
      </c>
    </row>
    <row r="83" spans="2:9">
      <c r="B83" t="s">
        <v>810</v>
      </c>
      <c r="C83" t="s">
        <v>833</v>
      </c>
      <c r="D83" t="s">
        <v>827</v>
      </c>
      <c r="E83" t="s">
        <v>828</v>
      </c>
      <c r="F83" t="s">
        <v>811</v>
      </c>
      <c r="G83" s="26">
        <v>100.588744</v>
      </c>
      <c r="H83" s="26">
        <v>9.231273</v>
      </c>
      <c r="I83" s="26">
        <v>91.357471</v>
      </c>
    </row>
    <row r="84" spans="2:9">
      <c r="B84" t="s">
        <v>186</v>
      </c>
      <c r="C84" t="s">
        <v>826</v>
      </c>
      <c r="D84" t="s">
        <v>827</v>
      </c>
      <c r="E84" t="s">
        <v>830</v>
      </c>
      <c r="G84" s="26">
        <v>89.3694</v>
      </c>
      <c r="H84" s="27">
        <v>0</v>
      </c>
      <c r="I84" s="26">
        <v>89.3694</v>
      </c>
    </row>
    <row r="85" spans="2:9">
      <c r="B85" t="s">
        <v>251</v>
      </c>
      <c r="C85" t="s">
        <v>829</v>
      </c>
      <c r="D85" t="s">
        <v>827</v>
      </c>
      <c r="E85" t="s">
        <v>830</v>
      </c>
      <c r="G85" s="26">
        <v>98.577651</v>
      </c>
      <c r="H85" s="27">
        <v>10</v>
      </c>
      <c r="I85" s="26">
        <v>88.577651</v>
      </c>
    </row>
    <row r="86" spans="2:9">
      <c r="B86" t="s">
        <v>168</v>
      </c>
      <c r="C86" t="s">
        <v>829</v>
      </c>
      <c r="D86" t="s">
        <v>827</v>
      </c>
      <c r="E86" t="s">
        <v>828</v>
      </c>
      <c r="F86" t="s">
        <v>169</v>
      </c>
      <c r="G86" s="26">
        <v>111.85398</v>
      </c>
      <c r="H86" s="26">
        <v>23.788834</v>
      </c>
      <c r="I86" s="26">
        <v>88.065146</v>
      </c>
    </row>
    <row r="87" spans="2:9">
      <c r="B87" t="s">
        <v>762</v>
      </c>
      <c r="C87" t="s">
        <v>834</v>
      </c>
      <c r="D87" t="s">
        <v>827</v>
      </c>
      <c r="E87" t="s">
        <v>828</v>
      </c>
      <c r="F87" t="s">
        <v>763</v>
      </c>
      <c r="G87" s="26">
        <v>95.532351</v>
      </c>
      <c r="H87" s="26">
        <v>7.5</v>
      </c>
      <c r="I87" s="26">
        <v>88.032351</v>
      </c>
    </row>
    <row r="88" spans="2:9">
      <c r="B88" t="s">
        <v>747</v>
      </c>
      <c r="C88" t="s">
        <v>833</v>
      </c>
      <c r="D88" t="s">
        <v>827</v>
      </c>
      <c r="E88" t="s">
        <v>828</v>
      </c>
      <c r="F88" t="s">
        <v>748</v>
      </c>
      <c r="G88" s="26">
        <v>92.685037</v>
      </c>
      <c r="H88" s="27">
        <v>7</v>
      </c>
      <c r="I88" s="26">
        <v>85.685037</v>
      </c>
    </row>
    <row r="89" spans="2:9">
      <c r="B89" t="s">
        <v>612</v>
      </c>
      <c r="C89" t="s">
        <v>829</v>
      </c>
      <c r="D89" t="s">
        <v>827</v>
      </c>
      <c r="E89" t="s">
        <v>830</v>
      </c>
      <c r="G89" s="26">
        <v>84.85394</v>
      </c>
      <c r="H89" s="27">
        <v>0</v>
      </c>
      <c r="I89" s="26">
        <v>84.85394</v>
      </c>
    </row>
    <row r="90" spans="2:9">
      <c r="B90" t="s">
        <v>736</v>
      </c>
      <c r="C90" t="s">
        <v>834</v>
      </c>
      <c r="D90" t="s">
        <v>827</v>
      </c>
      <c r="E90" t="s">
        <v>830</v>
      </c>
      <c r="G90" s="26">
        <v>92.03134</v>
      </c>
      <c r="H90" s="26">
        <v>7.5</v>
      </c>
      <c r="I90" s="26">
        <v>84.53134</v>
      </c>
    </row>
    <row r="91" spans="2:9">
      <c r="B91" t="s">
        <v>356</v>
      </c>
      <c r="C91" t="s">
        <v>831</v>
      </c>
      <c r="D91" t="s">
        <v>827</v>
      </c>
      <c r="E91" t="s">
        <v>830</v>
      </c>
      <c r="G91" s="26">
        <v>80.578856</v>
      </c>
      <c r="H91" s="27">
        <v>0</v>
      </c>
      <c r="I91" s="26">
        <v>80.578856</v>
      </c>
    </row>
    <row r="92" spans="2:9">
      <c r="B92" t="s">
        <v>323</v>
      </c>
      <c r="C92" t="s">
        <v>829</v>
      </c>
      <c r="D92" t="s">
        <v>827</v>
      </c>
      <c r="E92" t="s">
        <v>830</v>
      </c>
      <c r="G92" s="26">
        <v>78.447079</v>
      </c>
      <c r="H92" s="27">
        <v>0</v>
      </c>
      <c r="I92" s="26">
        <v>78.447079</v>
      </c>
    </row>
    <row r="93" spans="2:9">
      <c r="B93" t="s">
        <v>288</v>
      </c>
      <c r="C93" t="s">
        <v>829</v>
      </c>
      <c r="D93" t="s">
        <v>827</v>
      </c>
      <c r="E93" t="s">
        <v>830</v>
      </c>
      <c r="G93" s="26">
        <v>77.814334</v>
      </c>
      <c r="H93" s="27">
        <v>0</v>
      </c>
      <c r="I93" s="26">
        <v>77.814334</v>
      </c>
    </row>
    <row r="94" spans="2:9">
      <c r="B94" t="s">
        <v>155</v>
      </c>
      <c r="C94" t="s">
        <v>829</v>
      </c>
      <c r="D94" t="s">
        <v>827</v>
      </c>
      <c r="E94" t="s">
        <v>830</v>
      </c>
      <c r="G94" s="26">
        <v>73.849924</v>
      </c>
      <c r="H94" s="27">
        <v>0</v>
      </c>
      <c r="I94" s="26">
        <v>73.849924</v>
      </c>
    </row>
    <row r="95" spans="2:9">
      <c r="B95" t="s">
        <v>211</v>
      </c>
      <c r="C95" t="s">
        <v>826</v>
      </c>
      <c r="D95" t="s">
        <v>827</v>
      </c>
      <c r="E95" t="s">
        <v>830</v>
      </c>
      <c r="G95" s="26">
        <v>70.666104</v>
      </c>
      <c r="H95" s="27">
        <v>0</v>
      </c>
      <c r="I95" s="26">
        <v>70.666104</v>
      </c>
    </row>
    <row r="96" spans="2:9">
      <c r="B96" t="s">
        <v>396</v>
      </c>
      <c r="C96" t="s">
        <v>829</v>
      </c>
      <c r="D96" t="s">
        <v>827</v>
      </c>
      <c r="E96" t="s">
        <v>830</v>
      </c>
      <c r="G96" s="26">
        <v>70.115372</v>
      </c>
      <c r="H96" s="27">
        <v>0</v>
      </c>
      <c r="I96" s="26">
        <v>70.115372</v>
      </c>
    </row>
    <row r="97" spans="2:9">
      <c r="B97" t="s">
        <v>52</v>
      </c>
      <c r="C97" t="s">
        <v>826</v>
      </c>
      <c r="D97" t="s">
        <v>827</v>
      </c>
      <c r="E97" t="s">
        <v>830</v>
      </c>
      <c r="G97" s="26">
        <v>63.739946</v>
      </c>
      <c r="H97" s="27">
        <v>0</v>
      </c>
      <c r="I97" s="26">
        <v>63.739946</v>
      </c>
    </row>
    <row r="98" spans="2:9">
      <c r="B98" t="s">
        <v>168</v>
      </c>
      <c r="C98" t="s">
        <v>833</v>
      </c>
      <c r="D98" t="s">
        <v>827</v>
      </c>
      <c r="E98" t="s">
        <v>828</v>
      </c>
      <c r="F98" t="s">
        <v>169</v>
      </c>
      <c r="G98" s="26">
        <v>80.720892</v>
      </c>
      <c r="H98" s="26">
        <v>17.393259</v>
      </c>
      <c r="I98" s="26">
        <v>63.327633</v>
      </c>
    </row>
    <row r="99" spans="2:9">
      <c r="B99" t="s">
        <v>60</v>
      </c>
      <c r="C99" t="s">
        <v>834</v>
      </c>
      <c r="D99" t="s">
        <v>827</v>
      </c>
      <c r="E99" t="s">
        <v>830</v>
      </c>
      <c r="G99" s="26">
        <v>69.116128</v>
      </c>
      <c r="H99" s="26">
        <v>7.5</v>
      </c>
      <c r="I99" s="26">
        <v>61.616128</v>
      </c>
    </row>
    <row r="100" spans="2:9">
      <c r="B100" t="s">
        <v>437</v>
      </c>
      <c r="C100" t="s">
        <v>829</v>
      </c>
      <c r="D100" t="s">
        <v>827</v>
      </c>
      <c r="E100" t="s">
        <v>830</v>
      </c>
      <c r="G100" s="26">
        <v>60.099088</v>
      </c>
      <c r="H100" s="27">
        <v>0</v>
      </c>
      <c r="I100" s="26">
        <v>60.099088</v>
      </c>
    </row>
    <row r="101" spans="2:9">
      <c r="B101" t="s">
        <v>338</v>
      </c>
      <c r="C101" t="s">
        <v>829</v>
      </c>
      <c r="D101" t="s">
        <v>827</v>
      </c>
      <c r="E101" t="s">
        <v>830</v>
      </c>
      <c r="G101" s="26">
        <v>60.036178</v>
      </c>
      <c r="H101" s="27">
        <v>0</v>
      </c>
      <c r="I101" s="26">
        <v>60.036178</v>
      </c>
    </row>
    <row r="102" spans="2:9">
      <c r="B102" t="s">
        <v>257</v>
      </c>
      <c r="C102" t="s">
        <v>829</v>
      </c>
      <c r="D102" t="s">
        <v>827</v>
      </c>
      <c r="E102" t="s">
        <v>830</v>
      </c>
      <c r="G102" s="26">
        <v>59.097484</v>
      </c>
      <c r="H102" s="27">
        <v>0</v>
      </c>
      <c r="I102" s="26">
        <v>59.097484</v>
      </c>
    </row>
    <row r="103" spans="2:9">
      <c r="B103" t="s">
        <v>136</v>
      </c>
      <c r="C103" t="s">
        <v>834</v>
      </c>
      <c r="D103" t="s">
        <v>827</v>
      </c>
      <c r="E103" t="s">
        <v>830</v>
      </c>
      <c r="G103" s="26">
        <v>65.414986</v>
      </c>
      <c r="H103" s="26">
        <v>7.5</v>
      </c>
      <c r="I103" s="26">
        <v>57.914986</v>
      </c>
    </row>
    <row r="104" spans="2:9">
      <c r="B104" t="s">
        <v>528</v>
      </c>
      <c r="C104" t="s">
        <v>834</v>
      </c>
      <c r="D104" t="s">
        <v>827</v>
      </c>
      <c r="E104" t="s">
        <v>828</v>
      </c>
      <c r="F104" t="s">
        <v>529</v>
      </c>
      <c r="G104" s="26">
        <v>65.4125</v>
      </c>
      <c r="H104" s="26">
        <v>7.5</v>
      </c>
      <c r="I104" s="26">
        <v>57.9125</v>
      </c>
    </row>
    <row r="105" spans="2:9">
      <c r="B105" t="s">
        <v>361</v>
      </c>
      <c r="C105" t="s">
        <v>829</v>
      </c>
      <c r="D105" t="s">
        <v>827</v>
      </c>
      <c r="E105" t="s">
        <v>830</v>
      </c>
      <c r="G105" s="26">
        <v>57.648394</v>
      </c>
      <c r="H105" s="27">
        <v>0</v>
      </c>
      <c r="I105" s="26">
        <v>57.648394</v>
      </c>
    </row>
    <row r="106" spans="2:9">
      <c r="B106" t="s">
        <v>361</v>
      </c>
      <c r="C106" t="s">
        <v>826</v>
      </c>
      <c r="D106" t="s">
        <v>827</v>
      </c>
      <c r="E106" t="s">
        <v>830</v>
      </c>
      <c r="G106" s="26">
        <v>57.60226</v>
      </c>
      <c r="H106" s="27">
        <v>0</v>
      </c>
      <c r="I106" s="26">
        <v>57.60226</v>
      </c>
    </row>
    <row r="107" spans="2:9">
      <c r="B107" t="s">
        <v>801</v>
      </c>
      <c r="C107" t="s">
        <v>834</v>
      </c>
      <c r="D107" t="s">
        <v>827</v>
      </c>
      <c r="E107" t="s">
        <v>830</v>
      </c>
      <c r="G107" s="26">
        <v>56.915856</v>
      </c>
      <c r="H107" s="27">
        <v>0</v>
      </c>
      <c r="I107" s="26">
        <v>56.915856</v>
      </c>
    </row>
    <row r="108" spans="2:9">
      <c r="B108" t="s">
        <v>179</v>
      </c>
      <c r="C108" t="s">
        <v>829</v>
      </c>
      <c r="D108" t="s">
        <v>827</v>
      </c>
      <c r="E108" t="s">
        <v>830</v>
      </c>
      <c r="G108" s="26">
        <v>70.513727</v>
      </c>
      <c r="H108" s="26">
        <v>13.927342</v>
      </c>
      <c r="I108" s="26">
        <v>56.586385</v>
      </c>
    </row>
    <row r="109" spans="2:9">
      <c r="B109" t="s">
        <v>168</v>
      </c>
      <c r="C109" t="s">
        <v>834</v>
      </c>
      <c r="D109" t="s">
        <v>827</v>
      </c>
      <c r="E109" t="s">
        <v>828</v>
      </c>
      <c r="F109" t="s">
        <v>169</v>
      </c>
      <c r="G109" s="26">
        <v>65.569288</v>
      </c>
      <c r="H109" s="26">
        <v>9.266338</v>
      </c>
      <c r="I109" s="26">
        <v>56.30295</v>
      </c>
    </row>
    <row r="110" spans="2:9">
      <c r="B110" t="s">
        <v>158</v>
      </c>
      <c r="C110" t="s">
        <v>834</v>
      </c>
      <c r="D110" t="s">
        <v>827</v>
      </c>
      <c r="E110" t="s">
        <v>830</v>
      </c>
      <c r="G110" s="26">
        <v>55.890885</v>
      </c>
      <c r="H110" s="27">
        <v>0</v>
      </c>
      <c r="I110" s="26">
        <v>55.890885</v>
      </c>
    </row>
    <row r="111" spans="2:9">
      <c r="B111" t="s">
        <v>562</v>
      </c>
      <c r="C111" t="s">
        <v>834</v>
      </c>
      <c r="D111" t="s">
        <v>827</v>
      </c>
      <c r="E111" t="s">
        <v>828</v>
      </c>
      <c r="F111" t="s">
        <v>563</v>
      </c>
      <c r="G111" s="26">
        <v>54.40032</v>
      </c>
      <c r="H111" s="27">
        <v>0</v>
      </c>
      <c r="I111" s="26">
        <v>54.40032</v>
      </c>
    </row>
    <row r="112" spans="2:9">
      <c r="B112" t="s">
        <v>346</v>
      </c>
      <c r="C112" t="s">
        <v>829</v>
      </c>
      <c r="D112" t="s">
        <v>827</v>
      </c>
      <c r="E112" t="s">
        <v>830</v>
      </c>
      <c r="G112" s="26">
        <v>53.046892</v>
      </c>
      <c r="H112" s="27">
        <v>0</v>
      </c>
      <c r="I112" s="26">
        <v>53.046892</v>
      </c>
    </row>
    <row r="113" spans="2:9">
      <c r="B113" t="s">
        <v>326</v>
      </c>
      <c r="C113" t="s">
        <v>829</v>
      </c>
      <c r="D113" t="s">
        <v>827</v>
      </c>
      <c r="E113" t="s">
        <v>830</v>
      </c>
      <c r="G113" s="26">
        <v>52.420821</v>
      </c>
      <c r="H113" s="27">
        <v>0</v>
      </c>
      <c r="I113" s="26">
        <v>52.420821</v>
      </c>
    </row>
    <row r="114" spans="2:9">
      <c r="B114" t="s">
        <v>121</v>
      </c>
      <c r="C114" t="s">
        <v>834</v>
      </c>
      <c r="D114" t="s">
        <v>827</v>
      </c>
      <c r="E114" t="s">
        <v>830</v>
      </c>
      <c r="G114" s="26">
        <v>58.25304</v>
      </c>
      <c r="H114" s="26">
        <v>7.5</v>
      </c>
      <c r="I114" s="26">
        <v>50.75304</v>
      </c>
    </row>
    <row r="115" spans="2:9">
      <c r="B115" t="s">
        <v>277</v>
      </c>
      <c r="C115" t="s">
        <v>826</v>
      </c>
      <c r="D115" t="s">
        <v>827</v>
      </c>
      <c r="E115" t="s">
        <v>830</v>
      </c>
      <c r="G115" s="26">
        <v>59.709444</v>
      </c>
      <c r="H115" s="26">
        <v>9.622914</v>
      </c>
      <c r="I115" s="26">
        <v>50.08653</v>
      </c>
    </row>
    <row r="116" spans="2:9">
      <c r="B116" t="s">
        <v>398</v>
      </c>
      <c r="C116" t="s">
        <v>829</v>
      </c>
      <c r="D116" t="s">
        <v>827</v>
      </c>
      <c r="E116" t="s">
        <v>830</v>
      </c>
      <c r="G116" s="26">
        <v>50.082884</v>
      </c>
      <c r="H116" s="27">
        <v>0</v>
      </c>
      <c r="I116" s="26">
        <v>50.082884</v>
      </c>
    </row>
    <row r="117" spans="2:9">
      <c r="B117" t="s">
        <v>24</v>
      </c>
      <c r="C117" t="s">
        <v>833</v>
      </c>
      <c r="D117" t="s">
        <v>827</v>
      </c>
      <c r="E117" t="s">
        <v>830</v>
      </c>
      <c r="G117" s="26">
        <v>56.586697</v>
      </c>
      <c r="H117" s="27">
        <v>7</v>
      </c>
      <c r="I117" s="26">
        <v>49.586697</v>
      </c>
    </row>
    <row r="118" spans="2:9">
      <c r="B118" t="s">
        <v>48</v>
      </c>
      <c r="C118" t="s">
        <v>834</v>
      </c>
      <c r="D118" t="s">
        <v>827</v>
      </c>
      <c r="E118" t="s">
        <v>830</v>
      </c>
      <c r="G118" s="26">
        <v>56.06856</v>
      </c>
      <c r="H118" s="26">
        <v>7.5</v>
      </c>
      <c r="I118" s="26">
        <v>48.56856</v>
      </c>
    </row>
    <row r="119" spans="2:9">
      <c r="B119" t="s">
        <v>99</v>
      </c>
      <c r="C119" t="s">
        <v>834</v>
      </c>
      <c r="D119" t="s">
        <v>827</v>
      </c>
      <c r="E119" t="s">
        <v>830</v>
      </c>
      <c r="G119" s="26">
        <v>55.96776</v>
      </c>
      <c r="H119" s="26">
        <v>7.5</v>
      </c>
      <c r="I119" s="26">
        <v>48.46776</v>
      </c>
    </row>
    <row r="120" spans="2:9">
      <c r="B120" t="s">
        <v>166</v>
      </c>
      <c r="C120" t="s">
        <v>833</v>
      </c>
      <c r="D120" t="s">
        <v>827</v>
      </c>
      <c r="E120" t="s">
        <v>830</v>
      </c>
      <c r="G120" s="26">
        <v>48.413119</v>
      </c>
      <c r="H120" s="27">
        <v>0</v>
      </c>
      <c r="I120" s="26">
        <v>48.413119</v>
      </c>
    </row>
    <row r="121" spans="2:9">
      <c r="B121" t="s">
        <v>284</v>
      </c>
      <c r="C121" t="s">
        <v>829</v>
      </c>
      <c r="D121" t="s">
        <v>827</v>
      </c>
      <c r="E121" t="s">
        <v>830</v>
      </c>
      <c r="G121" s="26">
        <v>48.330436</v>
      </c>
      <c r="H121" s="27">
        <v>0</v>
      </c>
      <c r="I121" s="26">
        <v>48.330436</v>
      </c>
    </row>
    <row r="122" spans="2:9">
      <c r="B122" t="s">
        <v>156</v>
      </c>
      <c r="C122" t="s">
        <v>829</v>
      </c>
      <c r="D122" t="s">
        <v>827</v>
      </c>
      <c r="E122" t="s">
        <v>830</v>
      </c>
      <c r="G122" s="26">
        <v>48.141062</v>
      </c>
      <c r="H122" s="27">
        <v>0</v>
      </c>
      <c r="I122" s="26">
        <v>48.141062</v>
      </c>
    </row>
    <row r="123" spans="2:9">
      <c r="B123" t="s">
        <v>337</v>
      </c>
      <c r="C123" t="s">
        <v>826</v>
      </c>
      <c r="D123" t="s">
        <v>827</v>
      </c>
      <c r="E123" t="s">
        <v>830</v>
      </c>
      <c r="G123" s="26">
        <v>47.398258</v>
      </c>
      <c r="H123" s="27">
        <v>0</v>
      </c>
      <c r="I123" s="26">
        <v>47.398258</v>
      </c>
    </row>
    <row r="124" spans="2:9">
      <c r="B124" t="s">
        <v>499</v>
      </c>
      <c r="C124" t="s">
        <v>826</v>
      </c>
      <c r="D124" t="s">
        <v>827</v>
      </c>
      <c r="E124" t="s">
        <v>830</v>
      </c>
      <c r="G124" s="26">
        <v>46.94484</v>
      </c>
      <c r="H124" s="27">
        <v>0</v>
      </c>
      <c r="I124" s="26">
        <v>46.94484</v>
      </c>
    </row>
    <row r="125" spans="2:9">
      <c r="B125" t="s">
        <v>310</v>
      </c>
      <c r="C125" t="s">
        <v>829</v>
      </c>
      <c r="D125" t="s">
        <v>827</v>
      </c>
      <c r="E125" t="s">
        <v>830</v>
      </c>
      <c r="G125" s="26">
        <v>46.67743</v>
      </c>
      <c r="H125" s="27">
        <v>0</v>
      </c>
      <c r="I125" s="26">
        <v>46.67743</v>
      </c>
    </row>
    <row r="126" spans="2:9">
      <c r="B126" t="s">
        <v>126</v>
      </c>
      <c r="C126" t="s">
        <v>833</v>
      </c>
      <c r="D126" t="s">
        <v>827</v>
      </c>
      <c r="E126" t="s">
        <v>830</v>
      </c>
      <c r="G126" s="26">
        <v>53.379339</v>
      </c>
      <c r="H126" s="27">
        <v>7</v>
      </c>
      <c r="I126" s="26">
        <v>46.379339</v>
      </c>
    </row>
    <row r="127" spans="2:9">
      <c r="B127" t="s">
        <v>758</v>
      </c>
      <c r="C127" t="s">
        <v>833</v>
      </c>
      <c r="D127" t="s">
        <v>827</v>
      </c>
      <c r="E127" t="s">
        <v>830</v>
      </c>
      <c r="G127" s="26">
        <v>53.229546</v>
      </c>
      <c r="H127" s="27">
        <v>7</v>
      </c>
      <c r="I127" s="26">
        <v>46.229546</v>
      </c>
    </row>
    <row r="128" spans="2:9">
      <c r="B128" t="s">
        <v>198</v>
      </c>
      <c r="C128" t="s">
        <v>829</v>
      </c>
      <c r="D128" t="s">
        <v>827</v>
      </c>
      <c r="E128" t="s">
        <v>830</v>
      </c>
      <c r="G128" s="26">
        <v>46.141392</v>
      </c>
      <c r="H128" s="27">
        <v>0</v>
      </c>
      <c r="I128" s="26">
        <v>46.141392</v>
      </c>
    </row>
    <row r="129" spans="2:9">
      <c r="B129" t="s">
        <v>747</v>
      </c>
      <c r="C129" t="s">
        <v>834</v>
      </c>
      <c r="D129" t="s">
        <v>827</v>
      </c>
      <c r="E129" t="s">
        <v>828</v>
      </c>
      <c r="F129" t="s">
        <v>748</v>
      </c>
      <c r="G129" s="26">
        <v>53.211901</v>
      </c>
      <c r="H129" s="26">
        <v>7.5</v>
      </c>
      <c r="I129" s="26">
        <v>45.711901</v>
      </c>
    </row>
    <row r="130" spans="2:9">
      <c r="B130" t="s">
        <v>788</v>
      </c>
      <c r="C130" t="s">
        <v>834</v>
      </c>
      <c r="D130" t="s">
        <v>827</v>
      </c>
      <c r="E130" t="s">
        <v>830</v>
      </c>
      <c r="G130" s="26">
        <v>44.358758</v>
      </c>
      <c r="H130" s="27">
        <v>0</v>
      </c>
      <c r="I130" s="26">
        <v>44.358758</v>
      </c>
    </row>
    <row r="131" spans="2:9">
      <c r="B131" t="s">
        <v>456</v>
      </c>
      <c r="C131" t="s">
        <v>829</v>
      </c>
      <c r="D131" t="s">
        <v>827</v>
      </c>
      <c r="E131" t="s">
        <v>830</v>
      </c>
      <c r="G131" s="26">
        <v>44.12554</v>
      </c>
      <c r="H131" s="27">
        <v>0</v>
      </c>
      <c r="I131" s="26">
        <v>44.12554</v>
      </c>
    </row>
    <row r="132" spans="2:9">
      <c r="B132" t="s">
        <v>380</v>
      </c>
      <c r="C132" t="s">
        <v>829</v>
      </c>
      <c r="D132" t="s">
        <v>827</v>
      </c>
      <c r="E132" t="s">
        <v>830</v>
      </c>
      <c r="G132" s="26">
        <v>41.737594</v>
      </c>
      <c r="H132" s="27">
        <v>0</v>
      </c>
      <c r="I132" s="26">
        <v>41.737594</v>
      </c>
    </row>
    <row r="133" spans="2:9">
      <c r="B133" t="s">
        <v>37</v>
      </c>
      <c r="C133" t="s">
        <v>829</v>
      </c>
      <c r="D133" t="s">
        <v>827</v>
      </c>
      <c r="E133" t="s">
        <v>830</v>
      </c>
      <c r="G133" s="26">
        <v>41.317424</v>
      </c>
      <c r="H133" s="27">
        <v>0</v>
      </c>
      <c r="I133" s="26">
        <v>41.317424</v>
      </c>
    </row>
    <row r="134" spans="2:9">
      <c r="B134" t="s">
        <v>303</v>
      </c>
      <c r="C134" t="s">
        <v>829</v>
      </c>
      <c r="D134" t="s">
        <v>827</v>
      </c>
      <c r="E134" t="s">
        <v>830</v>
      </c>
      <c r="G134" s="26">
        <v>41.243186</v>
      </c>
      <c r="H134" s="27">
        <v>0</v>
      </c>
      <c r="I134" s="26">
        <v>41.243186</v>
      </c>
    </row>
    <row r="135" spans="2:9">
      <c r="B135" t="s">
        <v>268</v>
      </c>
      <c r="C135" t="s">
        <v>826</v>
      </c>
      <c r="D135" t="s">
        <v>827</v>
      </c>
      <c r="E135" t="s">
        <v>830</v>
      </c>
      <c r="G135" s="26">
        <v>41.072308</v>
      </c>
      <c r="H135" s="27">
        <v>0</v>
      </c>
      <c r="I135" s="26">
        <v>41.072308</v>
      </c>
    </row>
    <row r="136" spans="2:9">
      <c r="B136" t="s">
        <v>102</v>
      </c>
      <c r="C136" t="s">
        <v>833</v>
      </c>
      <c r="D136" t="s">
        <v>827</v>
      </c>
      <c r="E136" t="s">
        <v>828</v>
      </c>
      <c r="F136" t="s">
        <v>103</v>
      </c>
      <c r="G136" s="26">
        <v>52.217137</v>
      </c>
      <c r="H136" s="26">
        <v>11.234198</v>
      </c>
      <c r="I136" s="26">
        <v>40.982939</v>
      </c>
    </row>
    <row r="137" spans="2:9">
      <c r="B137" t="s">
        <v>72</v>
      </c>
      <c r="C137" t="s">
        <v>834</v>
      </c>
      <c r="D137" t="s">
        <v>827</v>
      </c>
      <c r="E137" t="s">
        <v>830</v>
      </c>
      <c r="G137" s="26">
        <v>40.038145</v>
      </c>
      <c r="H137" s="27">
        <v>0</v>
      </c>
      <c r="I137" s="26">
        <v>40.038145</v>
      </c>
    </row>
    <row r="138" spans="2:9">
      <c r="B138" t="s">
        <v>355</v>
      </c>
      <c r="C138" t="s">
        <v>829</v>
      </c>
      <c r="D138" t="s">
        <v>827</v>
      </c>
      <c r="E138" t="s">
        <v>830</v>
      </c>
      <c r="G138" s="26">
        <v>39.795002</v>
      </c>
      <c r="H138" s="27">
        <v>0</v>
      </c>
      <c r="I138" s="26">
        <v>39.795002</v>
      </c>
    </row>
    <row r="139" spans="2:9">
      <c r="B139" t="s">
        <v>200</v>
      </c>
      <c r="C139" t="s">
        <v>829</v>
      </c>
      <c r="D139" t="s">
        <v>827</v>
      </c>
      <c r="E139" t="s">
        <v>830</v>
      </c>
      <c r="G139" s="26">
        <v>39.032528</v>
      </c>
      <c r="H139" s="27">
        <v>0</v>
      </c>
      <c r="I139" s="26">
        <v>39.032528</v>
      </c>
    </row>
    <row r="140" spans="2:9">
      <c r="B140" t="s">
        <v>439</v>
      </c>
      <c r="C140" t="s">
        <v>826</v>
      </c>
      <c r="D140" t="s">
        <v>827</v>
      </c>
      <c r="E140" t="s">
        <v>830</v>
      </c>
      <c r="G140" s="26">
        <v>38.772444</v>
      </c>
      <c r="H140" s="27">
        <v>0</v>
      </c>
      <c r="I140" s="26">
        <v>38.772444</v>
      </c>
    </row>
    <row r="141" spans="2:9">
      <c r="B141" t="s">
        <v>435</v>
      </c>
      <c r="C141" t="s">
        <v>833</v>
      </c>
      <c r="D141" t="s">
        <v>827</v>
      </c>
      <c r="E141" t="s">
        <v>830</v>
      </c>
      <c r="G141" s="26">
        <v>44.536664</v>
      </c>
      <c r="H141" s="27">
        <v>7</v>
      </c>
      <c r="I141" s="26">
        <v>37.536664</v>
      </c>
    </row>
    <row r="142" spans="2:9">
      <c r="B142" t="s">
        <v>802</v>
      </c>
      <c r="C142" t="s">
        <v>833</v>
      </c>
      <c r="D142" t="s">
        <v>827</v>
      </c>
      <c r="E142" t="s">
        <v>830</v>
      </c>
      <c r="G142" s="26">
        <v>44.17211</v>
      </c>
      <c r="H142" s="27">
        <v>7</v>
      </c>
      <c r="I142" s="26">
        <v>37.17211</v>
      </c>
    </row>
    <row r="143" spans="2:9">
      <c r="B143" t="s">
        <v>510</v>
      </c>
      <c r="C143" t="s">
        <v>834</v>
      </c>
      <c r="D143" t="s">
        <v>827</v>
      </c>
      <c r="E143" t="s">
        <v>828</v>
      </c>
      <c r="F143" t="s">
        <v>511</v>
      </c>
      <c r="G143" s="27">
        <v>39.99888</v>
      </c>
      <c r="H143" s="26">
        <v>3.166788</v>
      </c>
      <c r="I143" s="26">
        <v>36.832092</v>
      </c>
    </row>
    <row r="144" spans="2:9">
      <c r="B144" t="s">
        <v>313</v>
      </c>
      <c r="C144" t="s">
        <v>829</v>
      </c>
      <c r="D144" t="s">
        <v>827</v>
      </c>
      <c r="E144" t="s">
        <v>830</v>
      </c>
      <c r="G144" s="26">
        <v>36.111272</v>
      </c>
      <c r="H144" s="27">
        <v>0</v>
      </c>
      <c r="I144" s="26">
        <v>36.111272</v>
      </c>
    </row>
    <row r="145" spans="2:9">
      <c r="B145" t="s">
        <v>240</v>
      </c>
      <c r="C145" t="s">
        <v>834</v>
      </c>
      <c r="D145" t="s">
        <v>827</v>
      </c>
      <c r="E145" t="s">
        <v>830</v>
      </c>
      <c r="G145" s="26">
        <v>43.089881</v>
      </c>
      <c r="H145" s="26">
        <v>7.5</v>
      </c>
      <c r="I145" s="26">
        <v>35.589881</v>
      </c>
    </row>
    <row r="146" spans="2:9">
      <c r="B146" t="s">
        <v>430</v>
      </c>
      <c r="C146" t="s">
        <v>829</v>
      </c>
      <c r="D146" t="s">
        <v>827</v>
      </c>
      <c r="E146" t="s">
        <v>830</v>
      </c>
      <c r="G146" s="26">
        <v>35.518986</v>
      </c>
      <c r="H146" s="27">
        <v>0</v>
      </c>
      <c r="I146" s="26">
        <v>35.518986</v>
      </c>
    </row>
    <row r="147" spans="2:9">
      <c r="B147" t="s">
        <v>387</v>
      </c>
      <c r="C147" t="s">
        <v>829</v>
      </c>
      <c r="D147" t="s">
        <v>827</v>
      </c>
      <c r="E147" t="s">
        <v>830</v>
      </c>
      <c r="G147" s="26">
        <v>31.731678</v>
      </c>
      <c r="H147" s="27">
        <v>0</v>
      </c>
      <c r="I147" s="26">
        <v>31.731678</v>
      </c>
    </row>
    <row r="148" spans="2:9">
      <c r="B148" t="s">
        <v>785</v>
      </c>
      <c r="C148" t="s">
        <v>829</v>
      </c>
      <c r="D148" t="s">
        <v>827</v>
      </c>
      <c r="E148" t="s">
        <v>830</v>
      </c>
      <c r="G148" s="26">
        <v>32.526392</v>
      </c>
      <c r="H148" s="26">
        <v>1.065625</v>
      </c>
      <c r="I148" s="26">
        <v>31.460767</v>
      </c>
    </row>
    <row r="149" spans="2:9">
      <c r="B149" t="s">
        <v>504</v>
      </c>
      <c r="C149" t="s">
        <v>834</v>
      </c>
      <c r="D149" t="s">
        <v>827</v>
      </c>
      <c r="E149" t="s">
        <v>830</v>
      </c>
      <c r="G149" s="26">
        <v>38.8656</v>
      </c>
      <c r="H149" s="26">
        <v>7.5</v>
      </c>
      <c r="I149" s="26">
        <v>31.3656</v>
      </c>
    </row>
    <row r="150" spans="2:9">
      <c r="B150" t="s">
        <v>414</v>
      </c>
      <c r="C150" t="s">
        <v>829</v>
      </c>
      <c r="D150" t="s">
        <v>827</v>
      </c>
      <c r="E150" t="s">
        <v>830</v>
      </c>
      <c r="G150" s="26">
        <v>31.228524</v>
      </c>
      <c r="H150" s="27">
        <v>0</v>
      </c>
      <c r="I150" s="26">
        <v>31.228524</v>
      </c>
    </row>
    <row r="151" spans="2:9">
      <c r="B151" t="s">
        <v>610</v>
      </c>
      <c r="C151" t="s">
        <v>834</v>
      </c>
      <c r="D151" t="s">
        <v>827</v>
      </c>
      <c r="E151" t="s">
        <v>828</v>
      </c>
      <c r="F151" t="s">
        <v>611</v>
      </c>
      <c r="G151" s="26">
        <v>42.316585</v>
      </c>
      <c r="H151" s="26">
        <v>11.172097</v>
      </c>
      <c r="I151" s="26">
        <v>31.144488</v>
      </c>
    </row>
    <row r="152" spans="2:9">
      <c r="B152" t="s">
        <v>100</v>
      </c>
      <c r="C152" t="s">
        <v>834</v>
      </c>
      <c r="D152" t="s">
        <v>827</v>
      </c>
      <c r="E152" t="s">
        <v>830</v>
      </c>
      <c r="G152" s="26">
        <v>30.84336</v>
      </c>
      <c r="H152" s="27">
        <v>0</v>
      </c>
      <c r="I152" s="26">
        <v>30.84336</v>
      </c>
    </row>
    <row r="153" spans="2:9">
      <c r="B153" t="s">
        <v>723</v>
      </c>
      <c r="C153" t="s">
        <v>829</v>
      </c>
      <c r="D153" t="s">
        <v>827</v>
      </c>
      <c r="E153" t="s">
        <v>830</v>
      </c>
      <c r="G153" s="26">
        <v>30.810988</v>
      </c>
      <c r="H153" s="27">
        <v>0</v>
      </c>
      <c r="I153" s="26">
        <v>30.810988</v>
      </c>
    </row>
    <row r="154" spans="2:9">
      <c r="B154" t="s">
        <v>600</v>
      </c>
      <c r="C154" t="s">
        <v>829</v>
      </c>
      <c r="D154" t="s">
        <v>827</v>
      </c>
      <c r="E154" t="s">
        <v>830</v>
      </c>
      <c r="G154" s="26">
        <v>30.655344</v>
      </c>
      <c r="H154" s="27">
        <v>0</v>
      </c>
      <c r="I154" s="26">
        <v>30.655344</v>
      </c>
    </row>
    <row r="155" spans="2:9">
      <c r="B155" t="s">
        <v>397</v>
      </c>
      <c r="C155" t="s">
        <v>829</v>
      </c>
      <c r="D155" t="s">
        <v>827</v>
      </c>
      <c r="E155" t="s">
        <v>830</v>
      </c>
      <c r="G155" s="26">
        <v>30.03603</v>
      </c>
      <c r="H155" s="27">
        <v>0</v>
      </c>
      <c r="I155" s="26">
        <v>30.03603</v>
      </c>
    </row>
    <row r="156" spans="2:9">
      <c r="B156" t="s">
        <v>13</v>
      </c>
      <c r="C156" t="s">
        <v>834</v>
      </c>
      <c r="D156" t="s">
        <v>827</v>
      </c>
      <c r="E156" t="s">
        <v>828</v>
      </c>
      <c r="F156" t="s">
        <v>14</v>
      </c>
      <c r="G156" s="26">
        <v>37.465564</v>
      </c>
      <c r="H156" s="26">
        <v>7.5</v>
      </c>
      <c r="I156" s="26">
        <v>29.965564</v>
      </c>
    </row>
    <row r="157" spans="2:9">
      <c r="B157" t="s">
        <v>488</v>
      </c>
      <c r="C157" t="s">
        <v>826</v>
      </c>
      <c r="D157" t="s">
        <v>827</v>
      </c>
      <c r="E157" t="s">
        <v>830</v>
      </c>
      <c r="G157" s="26">
        <v>29.678142</v>
      </c>
      <c r="H157" s="27">
        <v>0</v>
      </c>
      <c r="I157" s="26">
        <v>29.678142</v>
      </c>
    </row>
    <row r="158" spans="2:9">
      <c r="B158" t="s">
        <v>111</v>
      </c>
      <c r="C158" t="s">
        <v>834</v>
      </c>
      <c r="D158" t="s">
        <v>827</v>
      </c>
      <c r="E158" t="s">
        <v>830</v>
      </c>
      <c r="G158" s="26">
        <v>29.554875</v>
      </c>
      <c r="H158" s="27">
        <v>0</v>
      </c>
      <c r="I158" s="26">
        <v>29.554875</v>
      </c>
    </row>
    <row r="159" spans="2:9">
      <c r="B159" t="s">
        <v>140</v>
      </c>
      <c r="C159" t="s">
        <v>833</v>
      </c>
      <c r="D159" t="s">
        <v>827</v>
      </c>
      <c r="E159" t="s">
        <v>830</v>
      </c>
      <c r="G159" s="26">
        <v>29.087834</v>
      </c>
      <c r="H159" s="27">
        <v>0</v>
      </c>
      <c r="I159" s="26">
        <v>29.087834</v>
      </c>
    </row>
    <row r="160" spans="2:9">
      <c r="B160" t="s">
        <v>773</v>
      </c>
      <c r="C160" t="s">
        <v>833</v>
      </c>
      <c r="D160" t="s">
        <v>827</v>
      </c>
      <c r="E160" t="s">
        <v>830</v>
      </c>
      <c r="G160" s="26">
        <v>28.9656</v>
      </c>
      <c r="H160" s="27">
        <v>0</v>
      </c>
      <c r="I160" s="26">
        <v>28.9656</v>
      </c>
    </row>
    <row r="161" spans="2:9">
      <c r="B161" t="s">
        <v>295</v>
      </c>
      <c r="C161" t="s">
        <v>829</v>
      </c>
      <c r="D161" t="s">
        <v>827</v>
      </c>
      <c r="E161" t="s">
        <v>830</v>
      </c>
      <c r="G161" s="26">
        <v>28.921824</v>
      </c>
      <c r="H161" s="27">
        <v>0</v>
      </c>
      <c r="I161" s="26">
        <v>28.921824</v>
      </c>
    </row>
    <row r="162" spans="2:9">
      <c r="B162" t="s">
        <v>345</v>
      </c>
      <c r="C162" t="s">
        <v>829</v>
      </c>
      <c r="D162" t="s">
        <v>827</v>
      </c>
      <c r="E162" t="s">
        <v>830</v>
      </c>
      <c r="G162" s="26">
        <v>28.663194</v>
      </c>
      <c r="H162" s="27">
        <v>0</v>
      </c>
      <c r="I162" s="26">
        <v>28.663194</v>
      </c>
    </row>
    <row r="163" spans="2:9">
      <c r="B163" t="s">
        <v>808</v>
      </c>
      <c r="C163" t="s">
        <v>834</v>
      </c>
      <c r="D163" t="s">
        <v>827</v>
      </c>
      <c r="E163" t="s">
        <v>830</v>
      </c>
      <c r="G163" s="26">
        <v>43.545848</v>
      </c>
      <c r="H163" s="26">
        <v>15.20043</v>
      </c>
      <c r="I163" s="26">
        <v>28.345418</v>
      </c>
    </row>
    <row r="164" spans="2:9">
      <c r="B164" t="s">
        <v>321</v>
      </c>
      <c r="C164" t="s">
        <v>834</v>
      </c>
      <c r="D164" t="s">
        <v>827</v>
      </c>
      <c r="E164" t="s">
        <v>830</v>
      </c>
      <c r="G164" s="26">
        <v>35.822752</v>
      </c>
      <c r="H164" s="26">
        <v>7.5</v>
      </c>
      <c r="I164" s="26">
        <v>28.322752</v>
      </c>
    </row>
    <row r="165" spans="2:9">
      <c r="B165" t="s">
        <v>280</v>
      </c>
      <c r="C165" t="s">
        <v>826</v>
      </c>
      <c r="D165" t="s">
        <v>827</v>
      </c>
      <c r="E165" t="s">
        <v>830</v>
      </c>
      <c r="G165" s="26">
        <v>28.208696</v>
      </c>
      <c r="H165" s="27">
        <v>0</v>
      </c>
      <c r="I165" s="26">
        <v>28.208696</v>
      </c>
    </row>
    <row r="166" spans="2:9">
      <c r="B166" t="s">
        <v>230</v>
      </c>
      <c r="C166" t="s">
        <v>829</v>
      </c>
      <c r="D166" t="s">
        <v>827</v>
      </c>
      <c r="E166" t="s">
        <v>830</v>
      </c>
      <c r="G166" s="26">
        <v>27.20508</v>
      </c>
      <c r="H166" s="27">
        <v>0</v>
      </c>
      <c r="I166" s="26">
        <v>27.20508</v>
      </c>
    </row>
    <row r="167" spans="2:9">
      <c r="B167" t="s">
        <v>155</v>
      </c>
      <c r="C167" t="s">
        <v>833</v>
      </c>
      <c r="D167" t="s">
        <v>827</v>
      </c>
      <c r="E167" t="s">
        <v>830</v>
      </c>
      <c r="G167" s="26">
        <v>36.896287</v>
      </c>
      <c r="H167" s="26">
        <v>9.940057</v>
      </c>
      <c r="I167" s="26">
        <v>26.95623</v>
      </c>
    </row>
    <row r="168" spans="2:9">
      <c r="B168" t="s">
        <v>143</v>
      </c>
      <c r="C168" t="s">
        <v>829</v>
      </c>
      <c r="D168" t="s">
        <v>827</v>
      </c>
      <c r="E168" t="s">
        <v>830</v>
      </c>
      <c r="G168" s="26">
        <v>26.65753</v>
      </c>
      <c r="H168" s="27">
        <v>0</v>
      </c>
      <c r="I168" s="26">
        <v>26.65753</v>
      </c>
    </row>
    <row r="169" spans="2:9">
      <c r="B169" t="s">
        <v>273</v>
      </c>
      <c r="C169" t="s">
        <v>829</v>
      </c>
      <c r="D169" t="s">
        <v>827</v>
      </c>
      <c r="E169" t="s">
        <v>830</v>
      </c>
      <c r="G169" s="26">
        <v>25.07546</v>
      </c>
      <c r="H169" s="27">
        <v>0</v>
      </c>
      <c r="I169" s="26">
        <v>25.07546</v>
      </c>
    </row>
    <row r="170" spans="2:9">
      <c r="B170" t="s">
        <v>84</v>
      </c>
      <c r="C170" t="s">
        <v>834</v>
      </c>
      <c r="D170" t="s">
        <v>827</v>
      </c>
      <c r="E170" t="s">
        <v>830</v>
      </c>
      <c r="G170" s="26">
        <v>32.12496</v>
      </c>
      <c r="H170" s="26">
        <v>7.5</v>
      </c>
      <c r="I170" s="26">
        <v>24.62496</v>
      </c>
    </row>
    <row r="171" spans="2:9">
      <c r="B171" t="s">
        <v>331</v>
      </c>
      <c r="C171" t="s">
        <v>829</v>
      </c>
      <c r="D171" t="s">
        <v>827</v>
      </c>
      <c r="E171" t="s">
        <v>830</v>
      </c>
      <c r="G171" s="26">
        <v>34.124248</v>
      </c>
      <c r="H171" s="27">
        <v>10</v>
      </c>
      <c r="I171" s="26">
        <v>24.124248</v>
      </c>
    </row>
    <row r="172" spans="2:9">
      <c r="B172" t="s">
        <v>788</v>
      </c>
      <c r="C172" t="s">
        <v>833</v>
      </c>
      <c r="D172" t="s">
        <v>827</v>
      </c>
      <c r="E172" t="s">
        <v>830</v>
      </c>
      <c r="G172" s="26">
        <v>23.811124</v>
      </c>
      <c r="H172" s="27">
        <v>0</v>
      </c>
      <c r="I172" s="26">
        <v>23.811124</v>
      </c>
    </row>
    <row r="173" spans="2:9">
      <c r="B173" t="s">
        <v>645</v>
      </c>
      <c r="C173" t="s">
        <v>834</v>
      </c>
      <c r="D173" t="s">
        <v>827</v>
      </c>
      <c r="E173" t="s">
        <v>830</v>
      </c>
      <c r="G173" s="26">
        <v>23.736544</v>
      </c>
      <c r="H173" s="27">
        <v>0</v>
      </c>
      <c r="I173" s="26">
        <v>23.736544</v>
      </c>
    </row>
    <row r="174" spans="2:9">
      <c r="B174" t="s">
        <v>241</v>
      </c>
      <c r="C174" t="s">
        <v>829</v>
      </c>
      <c r="D174" t="s">
        <v>827</v>
      </c>
      <c r="E174" t="s">
        <v>830</v>
      </c>
      <c r="G174" s="26">
        <v>23.685512</v>
      </c>
      <c r="H174" s="27">
        <v>0</v>
      </c>
      <c r="I174" s="26">
        <v>23.685512</v>
      </c>
    </row>
    <row r="175" spans="2:9">
      <c r="B175" t="s">
        <v>194</v>
      </c>
      <c r="C175" t="s">
        <v>829</v>
      </c>
      <c r="D175" t="s">
        <v>827</v>
      </c>
      <c r="E175" t="s">
        <v>830</v>
      </c>
      <c r="G175" s="26">
        <v>23.563234</v>
      </c>
      <c r="H175" s="27">
        <v>0</v>
      </c>
      <c r="I175" s="26">
        <v>23.563234</v>
      </c>
    </row>
    <row r="176" spans="2:9">
      <c r="B176" t="s">
        <v>168</v>
      </c>
      <c r="C176" t="s">
        <v>826</v>
      </c>
      <c r="D176" t="s">
        <v>827</v>
      </c>
      <c r="E176" t="s">
        <v>828</v>
      </c>
      <c r="F176" t="s">
        <v>169</v>
      </c>
      <c r="G176" s="26">
        <v>33.769622</v>
      </c>
      <c r="H176" s="26">
        <v>11.051569</v>
      </c>
      <c r="I176" s="26">
        <v>22.718053</v>
      </c>
    </row>
    <row r="177" spans="2:9">
      <c r="B177" t="s">
        <v>322</v>
      </c>
      <c r="C177" t="s">
        <v>834</v>
      </c>
      <c r="D177" t="s">
        <v>827</v>
      </c>
      <c r="E177" t="s">
        <v>830</v>
      </c>
      <c r="G177" s="26">
        <v>30.061972</v>
      </c>
      <c r="H177" s="26">
        <v>7.5</v>
      </c>
      <c r="I177" s="26">
        <v>22.561972</v>
      </c>
    </row>
    <row r="178" spans="2:9">
      <c r="B178" t="s">
        <v>609</v>
      </c>
      <c r="C178" t="s">
        <v>834</v>
      </c>
      <c r="D178" t="s">
        <v>827</v>
      </c>
      <c r="E178" t="s">
        <v>830</v>
      </c>
      <c r="G178" s="26">
        <v>29.99448</v>
      </c>
      <c r="H178" s="26">
        <v>7.5</v>
      </c>
      <c r="I178" s="26">
        <v>22.49448</v>
      </c>
    </row>
    <row r="179" spans="2:9">
      <c r="B179" t="s">
        <v>295</v>
      </c>
      <c r="C179" t="s">
        <v>834</v>
      </c>
      <c r="D179" t="s">
        <v>827</v>
      </c>
      <c r="E179" t="s">
        <v>830</v>
      </c>
      <c r="G179" s="26">
        <v>29.747657</v>
      </c>
      <c r="H179" s="26">
        <v>7.5</v>
      </c>
      <c r="I179" s="26">
        <v>22.247657</v>
      </c>
    </row>
    <row r="180" spans="2:9">
      <c r="B180" t="s">
        <v>653</v>
      </c>
      <c r="C180" t="s">
        <v>829</v>
      </c>
      <c r="D180" t="s">
        <v>827</v>
      </c>
      <c r="E180" t="s">
        <v>830</v>
      </c>
      <c r="G180" s="26">
        <v>21.723989</v>
      </c>
      <c r="H180" s="27">
        <v>0</v>
      </c>
      <c r="I180" s="26">
        <v>21.723989</v>
      </c>
    </row>
    <row r="181" spans="2:9">
      <c r="B181" t="s">
        <v>433</v>
      </c>
      <c r="C181" t="s">
        <v>829</v>
      </c>
      <c r="D181" t="s">
        <v>827</v>
      </c>
      <c r="E181" t="s">
        <v>830</v>
      </c>
      <c r="G181" s="26">
        <v>21.593508</v>
      </c>
      <c r="H181" s="27">
        <v>0</v>
      </c>
      <c r="I181" s="26">
        <v>21.593508</v>
      </c>
    </row>
    <row r="182" spans="2:9">
      <c r="B182" t="s">
        <v>812</v>
      </c>
      <c r="C182" t="s">
        <v>826</v>
      </c>
      <c r="D182" t="s">
        <v>827</v>
      </c>
      <c r="E182" t="s">
        <v>830</v>
      </c>
      <c r="G182" s="26">
        <v>21.433432</v>
      </c>
      <c r="H182" s="27">
        <v>0</v>
      </c>
      <c r="I182" s="26">
        <v>21.433432</v>
      </c>
    </row>
    <row r="183" spans="2:9">
      <c r="B183" t="s">
        <v>35</v>
      </c>
      <c r="C183" t="s">
        <v>833</v>
      </c>
      <c r="D183" t="s">
        <v>827</v>
      </c>
      <c r="E183" t="s">
        <v>830</v>
      </c>
      <c r="G183" s="26">
        <v>22.5504</v>
      </c>
      <c r="H183" s="26">
        <v>1.16928</v>
      </c>
      <c r="I183" s="26">
        <v>21.38112</v>
      </c>
    </row>
    <row r="184" spans="2:9">
      <c r="B184" t="s">
        <v>609</v>
      </c>
      <c r="C184" t="s">
        <v>833</v>
      </c>
      <c r="D184" t="s">
        <v>827</v>
      </c>
      <c r="E184" t="s">
        <v>830</v>
      </c>
      <c r="G184" s="26">
        <v>28.188</v>
      </c>
      <c r="H184" s="27">
        <v>7</v>
      </c>
      <c r="I184" s="26">
        <v>21.188</v>
      </c>
    </row>
    <row r="185" spans="2:9">
      <c r="B185" t="s">
        <v>165</v>
      </c>
      <c r="C185" t="s">
        <v>834</v>
      </c>
      <c r="D185" t="s">
        <v>827</v>
      </c>
      <c r="E185" t="s">
        <v>830</v>
      </c>
      <c r="G185" s="26">
        <v>28.34352</v>
      </c>
      <c r="H185" s="26">
        <v>7.5</v>
      </c>
      <c r="I185" s="26">
        <v>20.84352</v>
      </c>
    </row>
    <row r="186" spans="2:9">
      <c r="B186" t="s">
        <v>590</v>
      </c>
      <c r="C186" t="s">
        <v>834</v>
      </c>
      <c r="D186" t="s">
        <v>827</v>
      </c>
      <c r="E186" t="s">
        <v>828</v>
      </c>
      <c r="F186" t="s">
        <v>591</v>
      </c>
      <c r="G186" s="26">
        <v>20.83608</v>
      </c>
      <c r="H186" s="27">
        <v>0</v>
      </c>
      <c r="I186" s="26">
        <v>20.83608</v>
      </c>
    </row>
    <row r="187" spans="2:9">
      <c r="B187" t="s">
        <v>424</v>
      </c>
      <c r="C187" t="s">
        <v>829</v>
      </c>
      <c r="D187" t="s">
        <v>827</v>
      </c>
      <c r="E187" t="s">
        <v>830</v>
      </c>
      <c r="G187" s="26">
        <v>20.11023</v>
      </c>
      <c r="H187" s="27">
        <v>0</v>
      </c>
      <c r="I187" s="26">
        <v>20.11023</v>
      </c>
    </row>
    <row r="188" spans="2:9">
      <c r="B188" t="s">
        <v>206</v>
      </c>
      <c r="C188" t="s">
        <v>826</v>
      </c>
      <c r="D188" t="s">
        <v>827</v>
      </c>
      <c r="E188" t="s">
        <v>830</v>
      </c>
      <c r="G188" s="26">
        <v>20.006312</v>
      </c>
      <c r="H188" s="27">
        <v>0</v>
      </c>
      <c r="I188" s="26">
        <v>20.006312</v>
      </c>
    </row>
    <row r="189" spans="2:9">
      <c r="B189" t="s">
        <v>753</v>
      </c>
      <c r="C189" t="s">
        <v>834</v>
      </c>
      <c r="D189" t="s">
        <v>827</v>
      </c>
      <c r="E189" t="s">
        <v>830</v>
      </c>
      <c r="G189" s="26">
        <v>35.030497</v>
      </c>
      <c r="H189" s="26">
        <v>15.330255</v>
      </c>
      <c r="I189" s="26">
        <v>19.700242</v>
      </c>
    </row>
    <row r="190" spans="2:9">
      <c r="B190" t="s">
        <v>102</v>
      </c>
      <c r="C190" t="s">
        <v>834</v>
      </c>
      <c r="D190" t="s">
        <v>827</v>
      </c>
      <c r="E190" t="s">
        <v>828</v>
      </c>
      <c r="F190" t="s">
        <v>103</v>
      </c>
      <c r="G190" s="26">
        <v>30.669964</v>
      </c>
      <c r="H190" s="26">
        <v>11.223696</v>
      </c>
      <c r="I190" s="26">
        <v>19.446268</v>
      </c>
    </row>
    <row r="191" spans="2:9">
      <c r="B191" t="s">
        <v>779</v>
      </c>
      <c r="C191" t="s">
        <v>826</v>
      </c>
      <c r="D191" t="s">
        <v>827</v>
      </c>
      <c r="E191" t="s">
        <v>830</v>
      </c>
      <c r="G191" s="26">
        <v>21.554364</v>
      </c>
      <c r="H191" s="26">
        <v>2.129154</v>
      </c>
      <c r="I191" s="26">
        <v>19.42521</v>
      </c>
    </row>
    <row r="192" spans="2:9">
      <c r="B192" t="s">
        <v>123</v>
      </c>
      <c r="C192" t="s">
        <v>834</v>
      </c>
      <c r="D192" t="s">
        <v>827</v>
      </c>
      <c r="E192" t="s">
        <v>830</v>
      </c>
      <c r="G192" s="26">
        <v>19.106362</v>
      </c>
      <c r="H192" s="27">
        <v>0</v>
      </c>
      <c r="I192" s="26">
        <v>19.106362</v>
      </c>
    </row>
    <row r="193" spans="2:9">
      <c r="B193" t="s">
        <v>101</v>
      </c>
      <c r="C193" t="s">
        <v>834</v>
      </c>
      <c r="D193" t="s">
        <v>827</v>
      </c>
      <c r="E193" t="s">
        <v>830</v>
      </c>
      <c r="G193" s="26">
        <v>18.89568</v>
      </c>
      <c r="H193" s="27">
        <v>0</v>
      </c>
      <c r="I193" s="26">
        <v>18.89568</v>
      </c>
    </row>
    <row r="194" spans="2:9">
      <c r="B194" t="s">
        <v>156</v>
      </c>
      <c r="C194" t="s">
        <v>834</v>
      </c>
      <c r="D194" t="s">
        <v>827</v>
      </c>
      <c r="E194" t="s">
        <v>830</v>
      </c>
      <c r="G194" s="26">
        <v>28.314997</v>
      </c>
      <c r="H194" s="26">
        <v>9.45433</v>
      </c>
      <c r="I194" s="26">
        <v>18.860667</v>
      </c>
    </row>
    <row r="195" spans="2:9">
      <c r="B195" t="s">
        <v>648</v>
      </c>
      <c r="C195" t="s">
        <v>834</v>
      </c>
      <c r="D195" t="s">
        <v>827</v>
      </c>
      <c r="E195" t="s">
        <v>828</v>
      </c>
      <c r="F195" t="s">
        <v>649</v>
      </c>
      <c r="G195" s="26">
        <v>33.22509</v>
      </c>
      <c r="H195" s="27">
        <v>15</v>
      </c>
      <c r="I195" s="26">
        <v>18.22509</v>
      </c>
    </row>
    <row r="196" spans="2:9">
      <c r="B196" t="s">
        <v>244</v>
      </c>
      <c r="C196" t="s">
        <v>829</v>
      </c>
      <c r="D196" t="s">
        <v>827</v>
      </c>
      <c r="E196" t="s">
        <v>830</v>
      </c>
      <c r="G196" s="27">
        <v>17.998435</v>
      </c>
      <c r="H196" s="27">
        <v>0</v>
      </c>
      <c r="I196" s="27">
        <v>17.998435</v>
      </c>
    </row>
    <row r="197" spans="2:9">
      <c r="B197" t="s">
        <v>134</v>
      </c>
      <c r="C197" t="s">
        <v>834</v>
      </c>
      <c r="D197" t="s">
        <v>827</v>
      </c>
      <c r="E197" t="s">
        <v>830</v>
      </c>
      <c r="G197" s="26">
        <v>17.66656</v>
      </c>
      <c r="H197" s="27">
        <v>0</v>
      </c>
      <c r="I197" s="26">
        <v>17.66656</v>
      </c>
    </row>
    <row r="198" spans="2:9">
      <c r="B198" t="s">
        <v>537</v>
      </c>
      <c r="C198" t="s">
        <v>829</v>
      </c>
      <c r="D198" t="s">
        <v>827</v>
      </c>
      <c r="E198" t="s">
        <v>830</v>
      </c>
      <c r="G198" s="26">
        <v>17.554048</v>
      </c>
      <c r="H198" s="27">
        <v>0</v>
      </c>
      <c r="I198" s="26">
        <v>17.554048</v>
      </c>
    </row>
    <row r="199" spans="2:9">
      <c r="B199" t="s">
        <v>670</v>
      </c>
      <c r="C199" t="s">
        <v>834</v>
      </c>
      <c r="D199" t="s">
        <v>827</v>
      </c>
      <c r="E199" t="s">
        <v>828</v>
      </c>
      <c r="F199" t="s">
        <v>671</v>
      </c>
      <c r="G199" s="26">
        <v>17.389035</v>
      </c>
      <c r="H199" s="27">
        <v>0</v>
      </c>
      <c r="I199" s="26">
        <v>17.389035</v>
      </c>
    </row>
    <row r="200" spans="2:9">
      <c r="B200" t="s">
        <v>158</v>
      </c>
      <c r="C200" t="s">
        <v>833</v>
      </c>
      <c r="D200" t="s">
        <v>827</v>
      </c>
      <c r="E200" t="s">
        <v>830</v>
      </c>
      <c r="G200" s="26">
        <v>17.371628</v>
      </c>
      <c r="H200" s="27">
        <v>0</v>
      </c>
      <c r="I200" s="26">
        <v>17.371628</v>
      </c>
    </row>
    <row r="201" spans="2:9">
      <c r="B201" t="s">
        <v>260</v>
      </c>
      <c r="C201" t="s">
        <v>826</v>
      </c>
      <c r="D201" t="s">
        <v>827</v>
      </c>
      <c r="E201" t="s">
        <v>830</v>
      </c>
      <c r="G201" s="26">
        <v>17.295504</v>
      </c>
      <c r="H201" s="27">
        <v>0</v>
      </c>
      <c r="I201" s="26">
        <v>17.295504</v>
      </c>
    </row>
    <row r="202" spans="2:9">
      <c r="B202" t="s">
        <v>36</v>
      </c>
      <c r="C202" t="s">
        <v>834</v>
      </c>
      <c r="D202" t="s">
        <v>827</v>
      </c>
      <c r="E202" t="s">
        <v>830</v>
      </c>
      <c r="G202" s="27">
        <v>16.99852</v>
      </c>
      <c r="H202" s="27">
        <v>0</v>
      </c>
      <c r="I202" s="27">
        <v>16.99852</v>
      </c>
    </row>
    <row r="203" spans="2:9">
      <c r="B203" t="s">
        <v>231</v>
      </c>
      <c r="C203" t="s">
        <v>829</v>
      </c>
      <c r="D203" t="s">
        <v>827</v>
      </c>
      <c r="E203" t="s">
        <v>830</v>
      </c>
      <c r="G203" s="26">
        <v>16.96706</v>
      </c>
      <c r="H203" s="27">
        <v>0</v>
      </c>
      <c r="I203" s="26">
        <v>16.96706</v>
      </c>
    </row>
    <row r="204" spans="2:9">
      <c r="B204" t="s">
        <v>307</v>
      </c>
      <c r="C204" t="s">
        <v>834</v>
      </c>
      <c r="D204" t="s">
        <v>827</v>
      </c>
      <c r="E204" t="s">
        <v>830</v>
      </c>
      <c r="G204" s="26">
        <v>24.40347</v>
      </c>
      <c r="H204" s="26">
        <v>7.5</v>
      </c>
      <c r="I204" s="26">
        <v>16.90347</v>
      </c>
    </row>
    <row r="205" spans="2:9">
      <c r="B205" t="s">
        <v>313</v>
      </c>
      <c r="C205" t="s">
        <v>834</v>
      </c>
      <c r="D205" t="s">
        <v>827</v>
      </c>
      <c r="E205" t="s">
        <v>830</v>
      </c>
      <c r="G205" s="26">
        <v>24.397023</v>
      </c>
      <c r="H205" s="26">
        <v>7.5</v>
      </c>
      <c r="I205" s="26">
        <v>16.897023</v>
      </c>
    </row>
    <row r="206" spans="2:9">
      <c r="B206" t="s">
        <v>24</v>
      </c>
      <c r="C206" t="s">
        <v>829</v>
      </c>
      <c r="D206" t="s">
        <v>827</v>
      </c>
      <c r="E206" t="s">
        <v>830</v>
      </c>
      <c r="G206" s="26">
        <v>16.537874</v>
      </c>
      <c r="H206" s="27">
        <v>0</v>
      </c>
      <c r="I206" s="26">
        <v>16.537874</v>
      </c>
    </row>
    <row r="207" spans="2:9">
      <c r="B207" t="s">
        <v>159</v>
      </c>
      <c r="C207" t="s">
        <v>834</v>
      </c>
      <c r="D207" t="s">
        <v>827</v>
      </c>
      <c r="E207" t="s">
        <v>830</v>
      </c>
      <c r="G207" s="26">
        <v>16.492476</v>
      </c>
      <c r="H207" s="27">
        <v>0</v>
      </c>
      <c r="I207" s="26">
        <v>16.492476</v>
      </c>
    </row>
    <row r="208" spans="2:9">
      <c r="B208" t="s">
        <v>136</v>
      </c>
      <c r="C208" t="s">
        <v>829</v>
      </c>
      <c r="D208" t="s">
        <v>827</v>
      </c>
      <c r="E208" t="s">
        <v>830</v>
      </c>
      <c r="G208" s="26">
        <v>16.455392</v>
      </c>
      <c r="H208" s="27">
        <v>0</v>
      </c>
      <c r="I208" s="26">
        <v>16.455392</v>
      </c>
    </row>
    <row r="209" spans="2:9">
      <c r="B209" t="s">
        <v>731</v>
      </c>
      <c r="C209" t="s">
        <v>826</v>
      </c>
      <c r="D209" t="s">
        <v>827</v>
      </c>
      <c r="E209" t="s">
        <v>830</v>
      </c>
      <c r="G209" s="26">
        <v>16.366386</v>
      </c>
      <c r="H209" s="27">
        <v>0</v>
      </c>
      <c r="I209" s="26">
        <v>16.366386</v>
      </c>
    </row>
    <row r="210" spans="2:9">
      <c r="B210" t="s">
        <v>122</v>
      </c>
      <c r="C210" t="s">
        <v>829</v>
      </c>
      <c r="D210" t="s">
        <v>827</v>
      </c>
      <c r="E210" t="s">
        <v>830</v>
      </c>
      <c r="G210" s="26">
        <v>15.945588</v>
      </c>
      <c r="H210" s="27">
        <v>0</v>
      </c>
      <c r="I210" s="26">
        <v>15.945588</v>
      </c>
    </row>
    <row r="211" spans="2:9">
      <c r="B211" t="s">
        <v>48</v>
      </c>
      <c r="C211" t="s">
        <v>832</v>
      </c>
      <c r="D211" t="s">
        <v>827</v>
      </c>
      <c r="E211" t="s">
        <v>830</v>
      </c>
      <c r="G211" s="26">
        <v>24.823604</v>
      </c>
      <c r="H211" s="27">
        <v>9</v>
      </c>
      <c r="I211" s="26">
        <v>15.823604</v>
      </c>
    </row>
    <row r="212" spans="2:9">
      <c r="B212" t="s">
        <v>625</v>
      </c>
      <c r="C212" t="s">
        <v>833</v>
      </c>
      <c r="D212" t="s">
        <v>827</v>
      </c>
      <c r="E212" t="s">
        <v>828</v>
      </c>
      <c r="F212" t="s">
        <v>626</v>
      </c>
      <c r="G212" s="26">
        <v>19.197944</v>
      </c>
      <c r="H212" s="26">
        <v>3.604784</v>
      </c>
      <c r="I212" s="26">
        <v>15.59316</v>
      </c>
    </row>
    <row r="213" spans="2:9">
      <c r="B213" t="s">
        <v>442</v>
      </c>
      <c r="C213" t="s">
        <v>829</v>
      </c>
      <c r="D213" t="s">
        <v>827</v>
      </c>
      <c r="E213" t="s">
        <v>830</v>
      </c>
      <c r="G213" s="26">
        <v>15.558926</v>
      </c>
      <c r="H213" s="27">
        <v>0</v>
      </c>
      <c r="I213" s="26">
        <v>15.558926</v>
      </c>
    </row>
    <row r="214" spans="2:9">
      <c r="B214" t="s">
        <v>581</v>
      </c>
      <c r="C214" t="s">
        <v>833</v>
      </c>
      <c r="D214" t="s">
        <v>827</v>
      </c>
      <c r="E214" t="s">
        <v>830</v>
      </c>
      <c r="G214" s="26">
        <v>15.3576</v>
      </c>
      <c r="H214" s="27">
        <v>0</v>
      </c>
      <c r="I214" s="26">
        <v>15.3576</v>
      </c>
    </row>
    <row r="215" spans="2:9">
      <c r="B215" t="s">
        <v>110</v>
      </c>
      <c r="C215" t="s">
        <v>834</v>
      </c>
      <c r="D215" t="s">
        <v>827</v>
      </c>
      <c r="E215" t="s">
        <v>830</v>
      </c>
      <c r="G215" s="26">
        <v>14.949495</v>
      </c>
      <c r="H215" s="27">
        <v>0</v>
      </c>
      <c r="I215" s="26">
        <v>14.949495</v>
      </c>
    </row>
    <row r="216" spans="2:9">
      <c r="B216" t="s">
        <v>67</v>
      </c>
      <c r="C216" t="s">
        <v>829</v>
      </c>
      <c r="D216" t="s">
        <v>827</v>
      </c>
      <c r="E216" t="s">
        <v>828</v>
      </c>
      <c r="F216" t="s">
        <v>68</v>
      </c>
      <c r="G216" s="26">
        <v>14.935403</v>
      </c>
      <c r="H216" s="27">
        <v>0</v>
      </c>
      <c r="I216" s="26">
        <v>14.935403</v>
      </c>
    </row>
    <row r="217" spans="2:9">
      <c r="B217" t="s">
        <v>32</v>
      </c>
      <c r="C217" t="s">
        <v>834</v>
      </c>
      <c r="D217" t="s">
        <v>827</v>
      </c>
      <c r="E217" t="s">
        <v>828</v>
      </c>
      <c r="F217" t="s">
        <v>33</v>
      </c>
      <c r="G217" s="26">
        <v>16.57944</v>
      </c>
      <c r="H217" s="26">
        <v>1.657944</v>
      </c>
      <c r="I217" s="26">
        <v>14.921496</v>
      </c>
    </row>
    <row r="218" spans="2:9">
      <c r="B218" t="s">
        <v>97</v>
      </c>
      <c r="C218" t="s">
        <v>834</v>
      </c>
      <c r="D218" t="s">
        <v>827</v>
      </c>
      <c r="E218" t="s">
        <v>830</v>
      </c>
      <c r="G218" s="26">
        <v>14.796</v>
      </c>
      <c r="H218" s="27">
        <v>0</v>
      </c>
      <c r="I218" s="26">
        <v>14.796</v>
      </c>
    </row>
    <row r="219" spans="2:9">
      <c r="B219" t="s">
        <v>444</v>
      </c>
      <c r="C219" t="s">
        <v>829</v>
      </c>
      <c r="D219" t="s">
        <v>827</v>
      </c>
      <c r="E219" t="s">
        <v>830</v>
      </c>
      <c r="G219" s="26">
        <v>14.507824</v>
      </c>
      <c r="H219" s="27">
        <v>0</v>
      </c>
      <c r="I219" s="26">
        <v>14.507824</v>
      </c>
    </row>
    <row r="220" spans="2:9">
      <c r="B220" t="s">
        <v>253</v>
      </c>
      <c r="C220" t="s">
        <v>829</v>
      </c>
      <c r="D220" t="s">
        <v>827</v>
      </c>
      <c r="E220" t="s">
        <v>830</v>
      </c>
      <c r="G220" s="26">
        <v>14.334626</v>
      </c>
      <c r="H220" s="27">
        <v>0</v>
      </c>
      <c r="I220" s="26">
        <v>14.334626</v>
      </c>
    </row>
    <row r="221" spans="2:9">
      <c r="B221" t="s">
        <v>127</v>
      </c>
      <c r="C221" t="s">
        <v>834</v>
      </c>
      <c r="D221" t="s">
        <v>827</v>
      </c>
      <c r="E221" t="s">
        <v>830</v>
      </c>
      <c r="G221" s="26">
        <v>14.19716</v>
      </c>
      <c r="H221" s="27">
        <v>0</v>
      </c>
      <c r="I221" s="26">
        <v>14.19716</v>
      </c>
    </row>
    <row r="222" spans="2:9">
      <c r="B222" t="s">
        <v>311</v>
      </c>
      <c r="C222" t="s">
        <v>826</v>
      </c>
      <c r="D222" t="s">
        <v>827</v>
      </c>
      <c r="E222" t="s">
        <v>830</v>
      </c>
      <c r="G222" s="26">
        <v>13.921284</v>
      </c>
      <c r="H222" s="27">
        <v>0</v>
      </c>
      <c r="I222" s="26">
        <v>13.921284</v>
      </c>
    </row>
    <row r="223" spans="2:9">
      <c r="B223" t="s">
        <v>235</v>
      </c>
      <c r="C223" t="s">
        <v>829</v>
      </c>
      <c r="D223" t="s">
        <v>827</v>
      </c>
      <c r="E223" t="s">
        <v>830</v>
      </c>
      <c r="G223" s="26">
        <v>13.890994</v>
      </c>
      <c r="H223" s="27">
        <v>0</v>
      </c>
      <c r="I223" s="26">
        <v>13.890994</v>
      </c>
    </row>
    <row r="224" spans="2:9">
      <c r="B224" t="s">
        <v>631</v>
      </c>
      <c r="C224" t="s">
        <v>829</v>
      </c>
      <c r="D224" t="s">
        <v>827</v>
      </c>
      <c r="E224" t="s">
        <v>830</v>
      </c>
      <c r="G224" s="26">
        <v>13.73302</v>
      </c>
      <c r="H224" s="27">
        <v>0</v>
      </c>
      <c r="I224" s="26">
        <v>13.73302</v>
      </c>
    </row>
    <row r="225" spans="2:9">
      <c r="B225" t="s">
        <v>363</v>
      </c>
      <c r="C225" t="s">
        <v>829</v>
      </c>
      <c r="D225" t="s">
        <v>827</v>
      </c>
      <c r="E225" t="s">
        <v>830</v>
      </c>
      <c r="G225" s="26">
        <v>157.80624</v>
      </c>
      <c r="H225" s="26">
        <v>144.195504</v>
      </c>
      <c r="I225" s="26">
        <v>13.610736</v>
      </c>
    </row>
    <row r="226" spans="2:9">
      <c r="B226" t="s">
        <v>133</v>
      </c>
      <c r="C226" t="s">
        <v>833</v>
      </c>
      <c r="D226" t="s">
        <v>827</v>
      </c>
      <c r="E226" t="s">
        <v>830</v>
      </c>
      <c r="G226" s="26">
        <v>22.328026</v>
      </c>
      <c r="H226" s="26">
        <v>8.752398</v>
      </c>
      <c r="I226" s="26">
        <v>13.575628</v>
      </c>
    </row>
    <row r="227" spans="2:9">
      <c r="B227" t="s">
        <v>193</v>
      </c>
      <c r="C227" t="s">
        <v>829</v>
      </c>
      <c r="D227" t="s">
        <v>827</v>
      </c>
      <c r="E227" t="s">
        <v>830</v>
      </c>
      <c r="G227" s="26">
        <v>13.137686</v>
      </c>
      <c r="H227" s="27">
        <v>0</v>
      </c>
      <c r="I227" s="26">
        <v>13.137686</v>
      </c>
    </row>
    <row r="228" spans="2:9">
      <c r="B228" t="s">
        <v>353</v>
      </c>
      <c r="C228" t="s">
        <v>826</v>
      </c>
      <c r="D228" t="s">
        <v>827</v>
      </c>
      <c r="E228" t="s">
        <v>830</v>
      </c>
      <c r="G228" s="26">
        <v>13.069966</v>
      </c>
      <c r="H228" s="27">
        <v>0</v>
      </c>
      <c r="I228" s="26">
        <v>13.069966</v>
      </c>
    </row>
    <row r="229" spans="2:9">
      <c r="B229" t="s">
        <v>737</v>
      </c>
      <c r="C229" t="s">
        <v>834</v>
      </c>
      <c r="D229" t="s">
        <v>827</v>
      </c>
      <c r="E229" t="s">
        <v>830</v>
      </c>
      <c r="G229" s="26">
        <v>27.429531</v>
      </c>
      <c r="H229" s="27">
        <v>15</v>
      </c>
      <c r="I229" s="26">
        <v>12.429531</v>
      </c>
    </row>
    <row r="230" spans="2:9">
      <c r="B230" t="s">
        <v>57</v>
      </c>
      <c r="C230" t="s">
        <v>829</v>
      </c>
      <c r="D230" t="s">
        <v>827</v>
      </c>
      <c r="E230" t="s">
        <v>830</v>
      </c>
      <c r="G230" s="26">
        <v>12.361116</v>
      </c>
      <c r="H230" s="27">
        <v>0</v>
      </c>
      <c r="I230" s="26">
        <v>12.361116</v>
      </c>
    </row>
    <row r="231" spans="2:9">
      <c r="B231" t="s">
        <v>521</v>
      </c>
      <c r="C231" t="s">
        <v>834</v>
      </c>
      <c r="D231" t="s">
        <v>827</v>
      </c>
      <c r="E231" t="s">
        <v>830</v>
      </c>
      <c r="G231" s="26">
        <v>12.30984</v>
      </c>
      <c r="H231" s="27">
        <v>0</v>
      </c>
      <c r="I231" s="26">
        <v>12.30984</v>
      </c>
    </row>
    <row r="232" spans="2:9">
      <c r="B232" t="s">
        <v>142</v>
      </c>
      <c r="C232" t="s">
        <v>834</v>
      </c>
      <c r="D232" t="s">
        <v>827</v>
      </c>
      <c r="E232" t="s">
        <v>830</v>
      </c>
      <c r="G232" s="26">
        <v>12.12408</v>
      </c>
      <c r="H232" s="27">
        <v>0</v>
      </c>
      <c r="I232" s="26">
        <v>12.12408</v>
      </c>
    </row>
    <row r="233" spans="2:9">
      <c r="B233" t="s">
        <v>435</v>
      </c>
      <c r="C233" t="s">
        <v>826</v>
      </c>
      <c r="D233" t="s">
        <v>827</v>
      </c>
      <c r="E233" t="s">
        <v>830</v>
      </c>
      <c r="G233" s="26">
        <v>12.069064</v>
      </c>
      <c r="H233" s="27">
        <v>0</v>
      </c>
      <c r="I233" s="26">
        <v>12.069064</v>
      </c>
    </row>
    <row r="234" spans="2:9">
      <c r="B234" t="s">
        <v>273</v>
      </c>
      <c r="C234" t="s">
        <v>826</v>
      </c>
      <c r="D234" t="s">
        <v>827</v>
      </c>
      <c r="E234" t="s">
        <v>830</v>
      </c>
      <c r="G234" s="26">
        <v>12.059148</v>
      </c>
      <c r="H234" s="27">
        <v>0</v>
      </c>
      <c r="I234" s="26">
        <v>12.059148</v>
      </c>
    </row>
    <row r="235" spans="2:9">
      <c r="B235" t="s">
        <v>57</v>
      </c>
      <c r="C235" t="s">
        <v>834</v>
      </c>
      <c r="D235" t="s">
        <v>827</v>
      </c>
      <c r="E235" t="s">
        <v>830</v>
      </c>
      <c r="G235" s="26">
        <v>19.536976</v>
      </c>
      <c r="H235" s="26">
        <v>7.5</v>
      </c>
      <c r="I235" s="26">
        <v>12.036976</v>
      </c>
    </row>
    <row r="236" spans="2:9">
      <c r="B236" t="s">
        <v>274</v>
      </c>
      <c r="C236" t="s">
        <v>826</v>
      </c>
      <c r="D236" t="s">
        <v>827</v>
      </c>
      <c r="E236" t="s">
        <v>830</v>
      </c>
      <c r="G236" s="26">
        <v>11.676978</v>
      </c>
      <c r="H236" s="27">
        <v>0</v>
      </c>
      <c r="I236" s="26">
        <v>11.676978</v>
      </c>
    </row>
    <row r="237" spans="2:9">
      <c r="B237" t="s">
        <v>584</v>
      </c>
      <c r="C237" t="s">
        <v>834</v>
      </c>
      <c r="D237" t="s">
        <v>827</v>
      </c>
      <c r="E237" t="s">
        <v>830</v>
      </c>
      <c r="G237" s="26">
        <v>11.5812</v>
      </c>
      <c r="H237" s="27">
        <v>0</v>
      </c>
      <c r="I237" s="26">
        <v>11.5812</v>
      </c>
    </row>
    <row r="238" spans="2:9">
      <c r="B238" t="s">
        <v>723</v>
      </c>
      <c r="C238" t="s">
        <v>834</v>
      </c>
      <c r="D238" t="s">
        <v>827</v>
      </c>
      <c r="E238" t="s">
        <v>830</v>
      </c>
      <c r="G238" s="26">
        <v>22.36238</v>
      </c>
      <c r="H238" s="26">
        <v>10.860295</v>
      </c>
      <c r="I238" s="26">
        <v>11.502085</v>
      </c>
    </row>
    <row r="239" spans="2:9">
      <c r="B239" t="s">
        <v>394</v>
      </c>
      <c r="C239" t="s">
        <v>829</v>
      </c>
      <c r="D239" t="s">
        <v>827</v>
      </c>
      <c r="E239" t="s">
        <v>830</v>
      </c>
      <c r="G239" s="26">
        <v>11.476182</v>
      </c>
      <c r="H239" s="27">
        <v>0</v>
      </c>
      <c r="I239" s="26">
        <v>11.476182</v>
      </c>
    </row>
    <row r="240" spans="2:9">
      <c r="B240" t="s">
        <v>126</v>
      </c>
      <c r="C240" t="s">
        <v>834</v>
      </c>
      <c r="D240" t="s">
        <v>827</v>
      </c>
      <c r="E240" t="s">
        <v>830</v>
      </c>
      <c r="G240" s="26">
        <v>18.937507</v>
      </c>
      <c r="H240" s="26">
        <v>7.5</v>
      </c>
      <c r="I240" s="26">
        <v>11.437507</v>
      </c>
    </row>
    <row r="241" spans="2:9">
      <c r="B241" t="s">
        <v>448</v>
      </c>
      <c r="C241" t="s">
        <v>826</v>
      </c>
      <c r="D241" t="s">
        <v>827</v>
      </c>
      <c r="E241" t="s">
        <v>830</v>
      </c>
      <c r="G241" s="26">
        <v>11.418316</v>
      </c>
      <c r="H241" s="27">
        <v>0</v>
      </c>
      <c r="I241" s="26">
        <v>11.418316</v>
      </c>
    </row>
    <row r="242" spans="2:9">
      <c r="B242" t="s">
        <v>625</v>
      </c>
      <c r="C242" t="s">
        <v>834</v>
      </c>
      <c r="D242" t="s">
        <v>827</v>
      </c>
      <c r="E242" t="s">
        <v>828</v>
      </c>
      <c r="F242" t="s">
        <v>626</v>
      </c>
      <c r="G242" s="26">
        <v>16.06536</v>
      </c>
      <c r="H242" s="26">
        <v>4.666249</v>
      </c>
      <c r="I242" s="26">
        <v>11.399111</v>
      </c>
    </row>
    <row r="243" spans="2:9">
      <c r="B243" t="s">
        <v>566</v>
      </c>
      <c r="C243" t="s">
        <v>826</v>
      </c>
      <c r="D243" t="s">
        <v>827</v>
      </c>
      <c r="E243" t="s">
        <v>830</v>
      </c>
      <c r="G243" s="26">
        <v>11.394439</v>
      </c>
      <c r="H243" s="27">
        <v>0</v>
      </c>
      <c r="I243" s="26">
        <v>11.394439</v>
      </c>
    </row>
    <row r="244" spans="2:9">
      <c r="B244" t="s">
        <v>230</v>
      </c>
      <c r="C244" t="s">
        <v>834</v>
      </c>
      <c r="D244" t="s">
        <v>827</v>
      </c>
      <c r="E244" t="s">
        <v>830</v>
      </c>
      <c r="G244" s="26">
        <v>18.882984</v>
      </c>
      <c r="H244" s="26">
        <v>7.5</v>
      </c>
      <c r="I244" s="26">
        <v>11.382984</v>
      </c>
    </row>
    <row r="245" spans="2:9">
      <c r="B245" t="s">
        <v>157</v>
      </c>
      <c r="C245" t="s">
        <v>834</v>
      </c>
      <c r="D245" t="s">
        <v>827</v>
      </c>
      <c r="E245" t="s">
        <v>830</v>
      </c>
      <c r="G245" s="26">
        <v>18.77472</v>
      </c>
      <c r="H245" s="26">
        <v>7.5</v>
      </c>
      <c r="I245" s="26">
        <v>11.27472</v>
      </c>
    </row>
    <row r="246" spans="2:9">
      <c r="B246" t="s">
        <v>106</v>
      </c>
      <c r="C246" t="s">
        <v>829</v>
      </c>
      <c r="D246" t="s">
        <v>827</v>
      </c>
      <c r="E246" t="s">
        <v>828</v>
      </c>
      <c r="F246" t="s">
        <v>107</v>
      </c>
      <c r="G246" s="26">
        <v>11.116558</v>
      </c>
      <c r="H246" s="27">
        <v>0</v>
      </c>
      <c r="I246" s="26">
        <v>11.116558</v>
      </c>
    </row>
    <row r="247" spans="2:9">
      <c r="B247" t="s">
        <v>600</v>
      </c>
      <c r="C247" t="s">
        <v>834</v>
      </c>
      <c r="D247" t="s">
        <v>827</v>
      </c>
      <c r="E247" t="s">
        <v>830</v>
      </c>
      <c r="G247" s="26">
        <v>18.532362</v>
      </c>
      <c r="H247" s="26">
        <v>7.5</v>
      </c>
      <c r="I247" s="26">
        <v>11.032362</v>
      </c>
    </row>
    <row r="248" spans="2:9">
      <c r="B248" t="s">
        <v>154</v>
      </c>
      <c r="C248" t="s">
        <v>834</v>
      </c>
      <c r="D248" t="s">
        <v>827</v>
      </c>
      <c r="E248" t="s">
        <v>830</v>
      </c>
      <c r="G248" s="26">
        <v>12.75552</v>
      </c>
      <c r="H248" s="26">
        <v>1.783642</v>
      </c>
      <c r="I248" s="26">
        <v>10.971878</v>
      </c>
    </row>
    <row r="249" spans="2:9">
      <c r="B249" t="s">
        <v>788</v>
      </c>
      <c r="C249" t="s">
        <v>829</v>
      </c>
      <c r="D249" t="s">
        <v>827</v>
      </c>
      <c r="E249" t="s">
        <v>830</v>
      </c>
      <c r="G249" s="26">
        <v>10.744096</v>
      </c>
      <c r="H249" s="27">
        <v>0</v>
      </c>
      <c r="I249" s="26">
        <v>10.744096</v>
      </c>
    </row>
    <row r="250" spans="2:9">
      <c r="B250" t="s">
        <v>114</v>
      </c>
      <c r="C250" t="s">
        <v>834</v>
      </c>
      <c r="D250" t="s">
        <v>827</v>
      </c>
      <c r="E250" t="s">
        <v>830</v>
      </c>
      <c r="G250" s="26">
        <v>11.1312</v>
      </c>
      <c r="H250" s="26">
        <v>0.404695</v>
      </c>
      <c r="I250" s="26">
        <v>10.726505</v>
      </c>
    </row>
    <row r="251" spans="2:9">
      <c r="B251" t="s">
        <v>571</v>
      </c>
      <c r="C251" t="s">
        <v>833</v>
      </c>
      <c r="D251" t="s">
        <v>827</v>
      </c>
      <c r="E251" t="s">
        <v>828</v>
      </c>
      <c r="F251" t="s">
        <v>572</v>
      </c>
      <c r="G251" s="26">
        <v>10.644378</v>
      </c>
      <c r="H251" s="27">
        <v>0</v>
      </c>
      <c r="I251" s="26">
        <v>10.644378</v>
      </c>
    </row>
    <row r="252" spans="2:9">
      <c r="B252" t="s">
        <v>160</v>
      </c>
      <c r="C252" t="s">
        <v>834</v>
      </c>
      <c r="D252" t="s">
        <v>827</v>
      </c>
      <c r="E252" t="s">
        <v>830</v>
      </c>
      <c r="G252" s="26">
        <v>12.6006</v>
      </c>
      <c r="H252" s="26">
        <v>1.985753</v>
      </c>
      <c r="I252" s="26">
        <v>10.614847</v>
      </c>
    </row>
    <row r="253" spans="2:9">
      <c r="B253" t="s">
        <v>298</v>
      </c>
      <c r="C253" t="s">
        <v>829</v>
      </c>
      <c r="D253" t="s">
        <v>827</v>
      </c>
      <c r="E253" t="s">
        <v>830</v>
      </c>
      <c r="G253" s="26">
        <v>10.532838</v>
      </c>
      <c r="H253" s="27">
        <v>0</v>
      </c>
      <c r="I253" s="26">
        <v>10.532838</v>
      </c>
    </row>
    <row r="254" spans="2:9">
      <c r="B254" t="s">
        <v>680</v>
      </c>
      <c r="C254" t="s">
        <v>829</v>
      </c>
      <c r="D254" t="s">
        <v>827</v>
      </c>
      <c r="E254" t="s">
        <v>830</v>
      </c>
      <c r="G254" s="26">
        <v>10.280564</v>
      </c>
      <c r="H254" s="27">
        <v>0</v>
      </c>
      <c r="I254" s="26">
        <v>10.280564</v>
      </c>
    </row>
    <row r="255" spans="2:9">
      <c r="B255" t="s">
        <v>348</v>
      </c>
      <c r="C255" t="s">
        <v>829</v>
      </c>
      <c r="D255" t="s">
        <v>827</v>
      </c>
      <c r="E255" t="s">
        <v>830</v>
      </c>
      <c r="G255" s="26">
        <v>10.27297</v>
      </c>
      <c r="H255" s="27">
        <v>0</v>
      </c>
      <c r="I255" s="26">
        <v>10.27297</v>
      </c>
    </row>
    <row r="256" spans="2:9">
      <c r="B256" t="s">
        <v>420</v>
      </c>
      <c r="C256" t="s">
        <v>829</v>
      </c>
      <c r="D256" t="s">
        <v>827</v>
      </c>
      <c r="E256" t="s">
        <v>830</v>
      </c>
      <c r="G256" s="26">
        <v>20.258664</v>
      </c>
      <c r="H256" s="27">
        <v>10</v>
      </c>
      <c r="I256" s="26">
        <v>10.258664</v>
      </c>
    </row>
    <row r="257" spans="2:9">
      <c r="B257" t="s">
        <v>807</v>
      </c>
      <c r="C257" t="s">
        <v>834</v>
      </c>
      <c r="D257" t="s">
        <v>827</v>
      </c>
      <c r="E257" t="s">
        <v>830</v>
      </c>
      <c r="G257" s="26">
        <v>10.147533</v>
      </c>
      <c r="H257" s="27">
        <v>0</v>
      </c>
      <c r="I257" s="26">
        <v>10.147533</v>
      </c>
    </row>
    <row r="258" spans="2:9">
      <c r="B258" t="s">
        <v>305</v>
      </c>
      <c r="C258" t="s">
        <v>826</v>
      </c>
      <c r="D258" t="s">
        <v>827</v>
      </c>
      <c r="E258" t="s">
        <v>830</v>
      </c>
      <c r="G258" s="26">
        <v>10.103346</v>
      </c>
      <c r="H258" s="27">
        <v>0</v>
      </c>
      <c r="I258" s="26">
        <v>10.103346</v>
      </c>
    </row>
    <row r="259" spans="2:9">
      <c r="B259" t="s">
        <v>468</v>
      </c>
      <c r="C259" t="s">
        <v>826</v>
      </c>
      <c r="D259" t="s">
        <v>827</v>
      </c>
      <c r="E259" t="s">
        <v>830</v>
      </c>
      <c r="G259" s="26">
        <v>10.098686</v>
      </c>
      <c r="H259" s="27">
        <v>0</v>
      </c>
      <c r="I259" s="26">
        <v>10.098686</v>
      </c>
    </row>
    <row r="260" spans="2:9">
      <c r="B260" t="s">
        <v>334</v>
      </c>
      <c r="C260" t="s">
        <v>826</v>
      </c>
      <c r="D260" t="s">
        <v>827</v>
      </c>
      <c r="E260" t="s">
        <v>830</v>
      </c>
      <c r="G260" s="26">
        <v>10.094924</v>
      </c>
      <c r="H260" s="27">
        <v>0</v>
      </c>
      <c r="I260" s="26">
        <v>10.094924</v>
      </c>
    </row>
    <row r="261" spans="2:9">
      <c r="B261" t="s">
        <v>350</v>
      </c>
      <c r="C261" t="s">
        <v>829</v>
      </c>
      <c r="D261" t="s">
        <v>827</v>
      </c>
      <c r="E261" t="s">
        <v>830</v>
      </c>
      <c r="G261" s="26">
        <v>10.090764</v>
      </c>
      <c r="H261" s="27">
        <v>0</v>
      </c>
      <c r="I261" s="26">
        <v>10.090764</v>
      </c>
    </row>
    <row r="262" spans="2:9">
      <c r="B262" t="s">
        <v>144</v>
      </c>
      <c r="C262" t="s">
        <v>826</v>
      </c>
      <c r="D262" t="s">
        <v>827</v>
      </c>
      <c r="E262" t="s">
        <v>830</v>
      </c>
      <c r="G262" s="26">
        <v>10.08035</v>
      </c>
      <c r="H262" s="27">
        <v>0</v>
      </c>
      <c r="I262" s="26">
        <v>10.08035</v>
      </c>
    </row>
    <row r="263" spans="2:9">
      <c r="B263" t="s">
        <v>783</v>
      </c>
      <c r="C263" t="s">
        <v>829</v>
      </c>
      <c r="D263" t="s">
        <v>827</v>
      </c>
      <c r="E263" t="s">
        <v>830</v>
      </c>
      <c r="G263" s="26">
        <v>10.066998</v>
      </c>
      <c r="H263" s="27">
        <v>0</v>
      </c>
      <c r="I263" s="26">
        <v>10.066998</v>
      </c>
    </row>
    <row r="264" spans="2:9">
      <c r="B264" t="s">
        <v>220</v>
      </c>
      <c r="C264" t="s">
        <v>826</v>
      </c>
      <c r="D264" t="s">
        <v>827</v>
      </c>
      <c r="E264" t="s">
        <v>830</v>
      </c>
      <c r="G264" s="26">
        <v>10.066532</v>
      </c>
      <c r="H264" s="27">
        <v>0</v>
      </c>
      <c r="I264" s="26">
        <v>10.066532</v>
      </c>
    </row>
    <row r="265" spans="2:9">
      <c r="B265" t="s">
        <v>337</v>
      </c>
      <c r="C265" t="s">
        <v>833</v>
      </c>
      <c r="D265" t="s">
        <v>827</v>
      </c>
      <c r="E265" t="s">
        <v>830</v>
      </c>
      <c r="G265" s="27">
        <v>16.998816</v>
      </c>
      <c r="H265" s="27">
        <v>7</v>
      </c>
      <c r="I265" s="27">
        <v>9.998816</v>
      </c>
    </row>
    <row r="266" spans="2:9">
      <c r="B266" t="s">
        <v>699</v>
      </c>
      <c r="C266" t="s">
        <v>834</v>
      </c>
      <c r="D266" t="s">
        <v>827</v>
      </c>
      <c r="E266" t="s">
        <v>830</v>
      </c>
      <c r="G266" s="26">
        <v>17.34336</v>
      </c>
      <c r="H266" s="26">
        <v>7.5</v>
      </c>
      <c r="I266" s="26">
        <v>9.84336</v>
      </c>
    </row>
    <row r="267" spans="2:9">
      <c r="B267" t="s">
        <v>495</v>
      </c>
      <c r="C267" t="s">
        <v>829</v>
      </c>
      <c r="D267" t="s">
        <v>827</v>
      </c>
      <c r="E267" t="s">
        <v>830</v>
      </c>
      <c r="G267" s="26">
        <v>9.758506</v>
      </c>
      <c r="H267" s="27">
        <v>0</v>
      </c>
      <c r="I267" s="26">
        <v>9.758506</v>
      </c>
    </row>
    <row r="268" spans="2:9">
      <c r="B268" t="s">
        <v>252</v>
      </c>
      <c r="C268" t="s">
        <v>829</v>
      </c>
      <c r="D268" t="s">
        <v>827</v>
      </c>
      <c r="E268" t="s">
        <v>830</v>
      </c>
      <c r="G268" s="26">
        <v>9.526904</v>
      </c>
      <c r="H268" s="27">
        <v>0</v>
      </c>
      <c r="I268" s="26">
        <v>9.526904</v>
      </c>
    </row>
    <row r="269" spans="2:9">
      <c r="B269" t="s">
        <v>704</v>
      </c>
      <c r="C269" t="s">
        <v>834</v>
      </c>
      <c r="D269" t="s">
        <v>827</v>
      </c>
      <c r="E269" t="s">
        <v>830</v>
      </c>
      <c r="G269" s="26">
        <v>9.390684</v>
      </c>
      <c r="H269" s="27">
        <v>0</v>
      </c>
      <c r="I269" s="26">
        <v>9.390684</v>
      </c>
    </row>
    <row r="270" spans="2:9">
      <c r="B270" t="s">
        <v>684</v>
      </c>
      <c r="C270" t="s">
        <v>834</v>
      </c>
      <c r="D270" t="s">
        <v>827</v>
      </c>
      <c r="E270" t="s">
        <v>830</v>
      </c>
      <c r="G270" s="26">
        <v>9.25344</v>
      </c>
      <c r="H270" s="27">
        <v>0</v>
      </c>
      <c r="I270" s="26">
        <v>9.25344</v>
      </c>
    </row>
    <row r="271" spans="2:9">
      <c r="B271" t="s">
        <v>718</v>
      </c>
      <c r="C271" t="s">
        <v>833</v>
      </c>
      <c r="D271" t="s">
        <v>827</v>
      </c>
      <c r="E271" t="s">
        <v>830</v>
      </c>
      <c r="G271" s="26">
        <v>16.1352</v>
      </c>
      <c r="H271" s="27">
        <v>7</v>
      </c>
      <c r="I271" s="26">
        <v>9.1352</v>
      </c>
    </row>
    <row r="272" spans="2:9">
      <c r="B272" t="s">
        <v>631</v>
      </c>
      <c r="C272" t="s">
        <v>834</v>
      </c>
      <c r="D272" t="s">
        <v>827</v>
      </c>
      <c r="E272" t="s">
        <v>830</v>
      </c>
      <c r="G272" s="26">
        <v>16.623144</v>
      </c>
      <c r="H272" s="26">
        <v>7.5</v>
      </c>
      <c r="I272" s="26">
        <v>9.123144</v>
      </c>
    </row>
    <row r="273" spans="2:9">
      <c r="B273" t="s">
        <v>421</v>
      </c>
      <c r="C273" t="s">
        <v>829</v>
      </c>
      <c r="D273" t="s">
        <v>827</v>
      </c>
      <c r="E273" t="s">
        <v>830</v>
      </c>
      <c r="G273" s="26">
        <v>9.087012</v>
      </c>
      <c r="H273" s="27">
        <v>0</v>
      </c>
      <c r="I273" s="26">
        <v>9.087012</v>
      </c>
    </row>
    <row r="274" spans="2:9">
      <c r="B274" t="s">
        <v>105</v>
      </c>
      <c r="C274" t="s">
        <v>826</v>
      </c>
      <c r="D274" t="s">
        <v>827</v>
      </c>
      <c r="E274" t="s">
        <v>830</v>
      </c>
      <c r="G274" s="26">
        <v>8.979354</v>
      </c>
      <c r="H274" s="27">
        <v>0</v>
      </c>
      <c r="I274" s="26">
        <v>8.979354</v>
      </c>
    </row>
    <row r="275" spans="2:9">
      <c r="B275" t="s">
        <v>257</v>
      </c>
      <c r="C275" t="s">
        <v>834</v>
      </c>
      <c r="D275" t="s">
        <v>827</v>
      </c>
      <c r="E275" t="s">
        <v>830</v>
      </c>
      <c r="G275" s="26">
        <v>16.461489</v>
      </c>
      <c r="H275" s="26">
        <v>7.5</v>
      </c>
      <c r="I275" s="26">
        <v>8.961489</v>
      </c>
    </row>
    <row r="276" spans="2:9">
      <c r="B276" t="s">
        <v>17</v>
      </c>
      <c r="C276" t="s">
        <v>834</v>
      </c>
      <c r="D276" t="s">
        <v>827</v>
      </c>
      <c r="E276" t="s">
        <v>830</v>
      </c>
      <c r="G276" s="26">
        <v>16.45776</v>
      </c>
      <c r="H276" s="26">
        <v>7.5</v>
      </c>
      <c r="I276" s="26">
        <v>8.95776</v>
      </c>
    </row>
    <row r="277" spans="2:9">
      <c r="B277" t="s">
        <v>83</v>
      </c>
      <c r="C277" t="s">
        <v>829</v>
      </c>
      <c r="D277" t="s">
        <v>827</v>
      </c>
      <c r="E277" t="s">
        <v>830</v>
      </c>
      <c r="G277" s="26">
        <v>8.911268</v>
      </c>
      <c r="H277" s="27">
        <v>0</v>
      </c>
      <c r="I277" s="26">
        <v>8.911268</v>
      </c>
    </row>
    <row r="278" spans="2:9">
      <c r="B278" t="s">
        <v>506</v>
      </c>
      <c r="C278" t="s">
        <v>834</v>
      </c>
      <c r="D278" t="s">
        <v>827</v>
      </c>
      <c r="E278" t="s">
        <v>830</v>
      </c>
      <c r="G278" s="26">
        <v>10.89864</v>
      </c>
      <c r="H278" s="26">
        <v>2.141502</v>
      </c>
      <c r="I278" s="26">
        <v>8.757138</v>
      </c>
    </row>
    <row r="279" spans="2:9">
      <c r="B279" t="s">
        <v>331</v>
      </c>
      <c r="C279" t="s">
        <v>834</v>
      </c>
      <c r="D279" t="s">
        <v>827</v>
      </c>
      <c r="E279" t="s">
        <v>830</v>
      </c>
      <c r="G279" s="26">
        <v>16.229785</v>
      </c>
      <c r="H279" s="26">
        <v>7.5</v>
      </c>
      <c r="I279" s="26">
        <v>8.729785</v>
      </c>
    </row>
    <row r="280" spans="2:9">
      <c r="B280" t="s">
        <v>138</v>
      </c>
      <c r="C280" t="s">
        <v>829</v>
      </c>
      <c r="D280" t="s">
        <v>827</v>
      </c>
      <c r="E280" t="s">
        <v>828</v>
      </c>
      <c r="F280" t="s">
        <v>139</v>
      </c>
      <c r="G280" s="26">
        <v>8.707676</v>
      </c>
      <c r="H280" s="27">
        <v>0</v>
      </c>
      <c r="I280" s="26">
        <v>8.707676</v>
      </c>
    </row>
    <row r="281" spans="2:9">
      <c r="B281" t="s">
        <v>433</v>
      </c>
      <c r="C281" t="s">
        <v>826</v>
      </c>
      <c r="D281" t="s">
        <v>827</v>
      </c>
      <c r="E281" t="s">
        <v>830</v>
      </c>
      <c r="G281" s="26">
        <v>8.56275</v>
      </c>
      <c r="H281" s="27">
        <v>0</v>
      </c>
      <c r="I281" s="26">
        <v>8.56275</v>
      </c>
    </row>
    <row r="282" spans="2:9">
      <c r="B282" t="s">
        <v>83</v>
      </c>
      <c r="C282" t="s">
        <v>833</v>
      </c>
      <c r="D282" t="s">
        <v>827</v>
      </c>
      <c r="E282" t="s">
        <v>830</v>
      </c>
      <c r="G282" s="26">
        <v>15.526354</v>
      </c>
      <c r="H282" s="27">
        <v>7</v>
      </c>
      <c r="I282" s="26">
        <v>8.526354</v>
      </c>
    </row>
    <row r="283" spans="2:9">
      <c r="B283" t="s">
        <v>302</v>
      </c>
      <c r="C283" t="s">
        <v>829</v>
      </c>
      <c r="D283" t="s">
        <v>827</v>
      </c>
      <c r="E283" t="s">
        <v>830</v>
      </c>
      <c r="G283" s="26">
        <v>8.433488</v>
      </c>
      <c r="H283" s="27">
        <v>0</v>
      </c>
      <c r="I283" s="26">
        <v>8.433488</v>
      </c>
    </row>
    <row r="284" spans="2:9">
      <c r="B284" t="s">
        <v>222</v>
      </c>
      <c r="C284" t="s">
        <v>826</v>
      </c>
      <c r="D284" t="s">
        <v>827</v>
      </c>
      <c r="E284" t="s">
        <v>830</v>
      </c>
      <c r="G284" s="26">
        <v>8.382518</v>
      </c>
      <c r="H284" s="27">
        <v>0</v>
      </c>
      <c r="I284" s="26">
        <v>8.382518</v>
      </c>
    </row>
    <row r="285" spans="2:9">
      <c r="B285" t="s">
        <v>210</v>
      </c>
      <c r="C285" t="s">
        <v>826</v>
      </c>
      <c r="D285" t="s">
        <v>827</v>
      </c>
      <c r="E285" t="s">
        <v>830</v>
      </c>
      <c r="G285" s="26">
        <v>8.300392</v>
      </c>
      <c r="H285" s="27">
        <v>0</v>
      </c>
      <c r="I285" s="26">
        <v>8.300392</v>
      </c>
    </row>
    <row r="286" spans="2:9">
      <c r="B286" t="s">
        <v>123</v>
      </c>
      <c r="C286" t="s">
        <v>833</v>
      </c>
      <c r="D286" t="s">
        <v>827</v>
      </c>
      <c r="E286" t="s">
        <v>830</v>
      </c>
      <c r="G286" s="26">
        <v>8.294983</v>
      </c>
      <c r="H286" s="27">
        <v>0</v>
      </c>
      <c r="I286" s="26">
        <v>8.294983</v>
      </c>
    </row>
    <row r="287" spans="2:9">
      <c r="B287" t="s">
        <v>696</v>
      </c>
      <c r="C287" t="s">
        <v>833</v>
      </c>
      <c r="D287" t="s">
        <v>827</v>
      </c>
      <c r="E287" t="s">
        <v>830</v>
      </c>
      <c r="G287" s="26">
        <v>8.1648</v>
      </c>
      <c r="H287" s="27">
        <v>0</v>
      </c>
      <c r="I287" s="26">
        <v>8.1648</v>
      </c>
    </row>
    <row r="288" spans="2:9">
      <c r="B288" t="s">
        <v>152</v>
      </c>
      <c r="C288" t="s">
        <v>834</v>
      </c>
      <c r="D288" t="s">
        <v>827</v>
      </c>
      <c r="E288" t="s">
        <v>830</v>
      </c>
      <c r="G288" s="26">
        <v>10.76616</v>
      </c>
      <c r="H288" s="26">
        <v>2.615354</v>
      </c>
      <c r="I288" s="26">
        <v>8.150806</v>
      </c>
    </row>
    <row r="289" spans="2:9">
      <c r="B289" t="s">
        <v>251</v>
      </c>
      <c r="C289" t="s">
        <v>834</v>
      </c>
      <c r="D289" t="s">
        <v>827</v>
      </c>
      <c r="E289" t="s">
        <v>830</v>
      </c>
      <c r="G289" s="26">
        <v>15.496746</v>
      </c>
      <c r="H289" s="26">
        <v>7.5</v>
      </c>
      <c r="I289" s="27">
        <v>7.996746</v>
      </c>
    </row>
    <row r="290" spans="2:9">
      <c r="B290" t="s">
        <v>289</v>
      </c>
      <c r="C290" t="s">
        <v>826</v>
      </c>
      <c r="D290" t="s">
        <v>827</v>
      </c>
      <c r="E290" t="s">
        <v>830</v>
      </c>
      <c r="G290" s="26">
        <v>7.989104</v>
      </c>
      <c r="H290" s="27">
        <v>0</v>
      </c>
      <c r="I290" s="26">
        <v>7.989104</v>
      </c>
    </row>
    <row r="291" spans="2:9">
      <c r="B291" t="s">
        <v>180</v>
      </c>
      <c r="C291" t="s">
        <v>829</v>
      </c>
      <c r="D291" t="s">
        <v>827</v>
      </c>
      <c r="E291" t="s">
        <v>830</v>
      </c>
      <c r="G291" s="26">
        <v>7.98491</v>
      </c>
      <c r="H291" s="27">
        <v>0</v>
      </c>
      <c r="I291" s="26">
        <v>7.98491</v>
      </c>
    </row>
    <row r="292" spans="2:9">
      <c r="B292" t="s">
        <v>77</v>
      </c>
      <c r="C292" t="s">
        <v>834</v>
      </c>
      <c r="D292" t="s">
        <v>827</v>
      </c>
      <c r="E292" t="s">
        <v>830</v>
      </c>
      <c r="G292" s="26">
        <v>7.87104</v>
      </c>
      <c r="H292" s="27">
        <v>0</v>
      </c>
      <c r="I292" s="26">
        <v>7.87104</v>
      </c>
    </row>
    <row r="293" spans="2:9">
      <c r="B293" t="s">
        <v>24</v>
      </c>
      <c r="C293" t="s">
        <v>834</v>
      </c>
      <c r="D293" t="s">
        <v>827</v>
      </c>
      <c r="E293" t="s">
        <v>830</v>
      </c>
      <c r="G293" s="26">
        <v>15.30241</v>
      </c>
      <c r="H293" s="26">
        <v>7.5</v>
      </c>
      <c r="I293" s="26">
        <v>7.80241</v>
      </c>
    </row>
    <row r="294" spans="2:9">
      <c r="B294" t="s">
        <v>369</v>
      </c>
      <c r="C294" t="s">
        <v>829</v>
      </c>
      <c r="D294" t="s">
        <v>827</v>
      </c>
      <c r="E294" t="s">
        <v>830</v>
      </c>
      <c r="G294" s="26">
        <v>7.79385</v>
      </c>
      <c r="H294" s="27">
        <v>0</v>
      </c>
      <c r="I294" s="26">
        <v>7.79385</v>
      </c>
    </row>
    <row r="295" spans="2:9">
      <c r="B295" t="s">
        <v>463</v>
      </c>
      <c r="C295" t="s">
        <v>829</v>
      </c>
      <c r="D295" t="s">
        <v>827</v>
      </c>
      <c r="E295" t="s">
        <v>830</v>
      </c>
      <c r="G295" s="26">
        <v>7.708106</v>
      </c>
      <c r="H295" s="27">
        <v>0</v>
      </c>
      <c r="I295" s="26">
        <v>7.708106</v>
      </c>
    </row>
    <row r="296" spans="2:9">
      <c r="B296" t="s">
        <v>416</v>
      </c>
      <c r="C296" t="s">
        <v>826</v>
      </c>
      <c r="D296" t="s">
        <v>827</v>
      </c>
      <c r="E296" t="s">
        <v>830</v>
      </c>
      <c r="G296" s="26">
        <v>7.702048</v>
      </c>
      <c r="H296" s="27">
        <v>0</v>
      </c>
      <c r="I296" s="26">
        <v>7.702048</v>
      </c>
    </row>
    <row r="297" spans="2:9">
      <c r="B297" t="s">
        <v>119</v>
      </c>
      <c r="C297" t="s">
        <v>834</v>
      </c>
      <c r="D297" t="s">
        <v>827</v>
      </c>
      <c r="E297" t="s">
        <v>830</v>
      </c>
      <c r="G297" s="26">
        <v>7.585744</v>
      </c>
      <c r="H297" s="27">
        <v>0</v>
      </c>
      <c r="I297" s="26">
        <v>7.585744</v>
      </c>
    </row>
    <row r="298" spans="2:9">
      <c r="B298" t="s">
        <v>759</v>
      </c>
      <c r="C298" t="s">
        <v>834</v>
      </c>
      <c r="D298" t="s">
        <v>827</v>
      </c>
      <c r="E298" t="s">
        <v>830</v>
      </c>
      <c r="G298" s="26">
        <v>15.06574</v>
      </c>
      <c r="H298" s="26">
        <v>7.5</v>
      </c>
      <c r="I298" s="26">
        <v>7.56574</v>
      </c>
    </row>
    <row r="299" spans="2:9">
      <c r="B299" t="s">
        <v>115</v>
      </c>
      <c r="C299" t="s">
        <v>834</v>
      </c>
      <c r="D299" t="s">
        <v>827</v>
      </c>
      <c r="E299" t="s">
        <v>830</v>
      </c>
      <c r="G299" s="26">
        <v>7.55599</v>
      </c>
      <c r="H299" s="27">
        <v>0</v>
      </c>
      <c r="I299" s="26">
        <v>7.55599</v>
      </c>
    </row>
    <row r="300" spans="2:9">
      <c r="B300" t="s">
        <v>75</v>
      </c>
      <c r="C300" t="s">
        <v>831</v>
      </c>
      <c r="D300" t="s">
        <v>827</v>
      </c>
      <c r="E300" t="s">
        <v>830</v>
      </c>
      <c r="G300" s="26">
        <v>7.473528</v>
      </c>
      <c r="H300" s="27">
        <v>0</v>
      </c>
      <c r="I300" s="26">
        <v>7.473528</v>
      </c>
    </row>
    <row r="301" spans="2:9">
      <c r="B301" t="s">
        <v>510</v>
      </c>
      <c r="C301" t="s">
        <v>832</v>
      </c>
      <c r="D301" t="s">
        <v>827</v>
      </c>
      <c r="E301" t="s">
        <v>828</v>
      </c>
      <c r="F301" t="s">
        <v>511</v>
      </c>
      <c r="G301" s="26">
        <v>14.83488</v>
      </c>
      <c r="H301" s="26">
        <v>7.397036</v>
      </c>
      <c r="I301" s="26">
        <v>7.437844</v>
      </c>
    </row>
    <row r="302" spans="2:9">
      <c r="B302" t="s">
        <v>714</v>
      </c>
      <c r="C302" t="s">
        <v>834</v>
      </c>
      <c r="D302" t="s">
        <v>827</v>
      </c>
      <c r="E302" t="s">
        <v>828</v>
      </c>
      <c r="F302" t="s">
        <v>715</v>
      </c>
      <c r="G302" s="26">
        <v>15.906441</v>
      </c>
      <c r="H302" s="26">
        <v>8.481704</v>
      </c>
      <c r="I302" s="26">
        <v>7.424737</v>
      </c>
    </row>
    <row r="303" spans="2:9">
      <c r="B303" t="s">
        <v>35</v>
      </c>
      <c r="C303" t="s">
        <v>834</v>
      </c>
      <c r="D303" t="s">
        <v>827</v>
      </c>
      <c r="E303" t="s">
        <v>830</v>
      </c>
      <c r="G303" s="26">
        <v>7.76304</v>
      </c>
      <c r="H303" s="26">
        <v>0.398934</v>
      </c>
      <c r="I303" s="26">
        <v>7.364106</v>
      </c>
    </row>
    <row r="304" spans="2:9">
      <c r="B304" t="s">
        <v>537</v>
      </c>
      <c r="C304" t="s">
        <v>833</v>
      </c>
      <c r="D304" t="s">
        <v>827</v>
      </c>
      <c r="E304" t="s">
        <v>830</v>
      </c>
      <c r="G304" s="26">
        <v>14.362665</v>
      </c>
      <c r="H304" s="27">
        <v>7</v>
      </c>
      <c r="I304" s="26">
        <v>7.362665</v>
      </c>
    </row>
    <row r="305" spans="2:9">
      <c r="B305" t="s">
        <v>93</v>
      </c>
      <c r="C305" t="s">
        <v>826</v>
      </c>
      <c r="D305" t="s">
        <v>827</v>
      </c>
      <c r="E305" t="s">
        <v>830</v>
      </c>
      <c r="G305" s="26">
        <v>7.339404</v>
      </c>
      <c r="H305" s="27">
        <v>0</v>
      </c>
      <c r="I305" s="26">
        <v>7.339404</v>
      </c>
    </row>
    <row r="306" spans="2:9">
      <c r="B306" t="s">
        <v>128</v>
      </c>
      <c r="C306" t="s">
        <v>834</v>
      </c>
      <c r="D306" t="s">
        <v>827</v>
      </c>
      <c r="E306" t="s">
        <v>830</v>
      </c>
      <c r="G306" s="26">
        <v>8.80848</v>
      </c>
      <c r="H306" s="26">
        <v>1.486989</v>
      </c>
      <c r="I306" s="26">
        <v>7.321491</v>
      </c>
    </row>
    <row r="307" spans="2:9">
      <c r="B307" t="s">
        <v>297</v>
      </c>
      <c r="C307" t="s">
        <v>829</v>
      </c>
      <c r="D307" t="s">
        <v>827</v>
      </c>
      <c r="E307" t="s">
        <v>830</v>
      </c>
      <c r="G307" s="26">
        <v>7.170342</v>
      </c>
      <c r="H307" s="27">
        <v>0</v>
      </c>
      <c r="I307" s="26">
        <v>7.170342</v>
      </c>
    </row>
    <row r="308" spans="2:9">
      <c r="B308" t="s">
        <v>432</v>
      </c>
      <c r="C308" t="s">
        <v>826</v>
      </c>
      <c r="D308" t="s">
        <v>827</v>
      </c>
      <c r="E308" t="s">
        <v>830</v>
      </c>
      <c r="G308" s="26">
        <v>7.013664</v>
      </c>
      <c r="H308" s="27">
        <v>0</v>
      </c>
      <c r="I308" s="26">
        <v>7.013664</v>
      </c>
    </row>
    <row r="309" spans="2:9">
      <c r="B309" t="s">
        <v>692</v>
      </c>
      <c r="C309" t="s">
        <v>834</v>
      </c>
      <c r="D309" t="s">
        <v>827</v>
      </c>
      <c r="E309" t="s">
        <v>830</v>
      </c>
      <c r="G309" s="26">
        <v>11.02536</v>
      </c>
      <c r="H309" s="26">
        <v>4.054215</v>
      </c>
      <c r="I309" s="26">
        <v>6.971145</v>
      </c>
    </row>
    <row r="310" spans="2:9">
      <c r="B310" t="s">
        <v>746</v>
      </c>
      <c r="C310" t="s">
        <v>834</v>
      </c>
      <c r="D310" t="s">
        <v>827</v>
      </c>
      <c r="E310" t="s">
        <v>830</v>
      </c>
      <c r="G310" s="26">
        <v>9.64512</v>
      </c>
      <c r="H310" s="26">
        <v>2.732784</v>
      </c>
      <c r="I310" s="26">
        <v>6.912336</v>
      </c>
    </row>
    <row r="311" spans="2:9">
      <c r="B311" t="s">
        <v>751</v>
      </c>
      <c r="C311" t="s">
        <v>833</v>
      </c>
      <c r="D311" t="s">
        <v>827</v>
      </c>
      <c r="E311" t="s">
        <v>830</v>
      </c>
      <c r="G311" s="26">
        <v>6.855432</v>
      </c>
      <c r="H311" s="27">
        <v>0</v>
      </c>
      <c r="I311" s="26">
        <v>6.855432</v>
      </c>
    </row>
    <row r="312" spans="2:9">
      <c r="B312" t="s">
        <v>19</v>
      </c>
      <c r="C312" t="s">
        <v>834</v>
      </c>
      <c r="D312" t="s">
        <v>827</v>
      </c>
      <c r="E312" t="s">
        <v>828</v>
      </c>
      <c r="F312" t="s">
        <v>20</v>
      </c>
      <c r="G312" s="26">
        <v>11.62008</v>
      </c>
      <c r="H312" s="26">
        <v>4.784484</v>
      </c>
      <c r="I312" s="26">
        <v>6.835596</v>
      </c>
    </row>
    <row r="313" spans="2:9">
      <c r="B313" t="s">
        <v>170</v>
      </c>
      <c r="C313" t="s">
        <v>826</v>
      </c>
      <c r="D313" t="s">
        <v>827</v>
      </c>
      <c r="E313" t="s">
        <v>828</v>
      </c>
      <c r="F313" t="s">
        <v>171</v>
      </c>
      <c r="G313" s="26">
        <v>6.807328</v>
      </c>
      <c r="H313" s="27">
        <v>0</v>
      </c>
      <c r="I313" s="26">
        <v>6.807328</v>
      </c>
    </row>
    <row r="314" spans="2:9">
      <c r="B314" t="s">
        <v>734</v>
      </c>
      <c r="C314" t="s">
        <v>833</v>
      </c>
      <c r="D314" t="s">
        <v>827</v>
      </c>
      <c r="E314" t="s">
        <v>830</v>
      </c>
      <c r="G314" s="26">
        <v>6.756378</v>
      </c>
      <c r="H314" s="27">
        <v>0</v>
      </c>
      <c r="I314" s="26">
        <v>6.756378</v>
      </c>
    </row>
    <row r="315" spans="2:9">
      <c r="B315" t="s">
        <v>688</v>
      </c>
      <c r="C315" t="s">
        <v>834</v>
      </c>
      <c r="D315" t="s">
        <v>827</v>
      </c>
      <c r="E315" t="s">
        <v>830</v>
      </c>
      <c r="G315" s="26">
        <v>6.70536</v>
      </c>
      <c r="H315" s="27">
        <v>0</v>
      </c>
      <c r="I315" s="26">
        <v>6.70536</v>
      </c>
    </row>
    <row r="316" spans="2:9">
      <c r="B316" t="s">
        <v>106</v>
      </c>
      <c r="C316" t="s">
        <v>834</v>
      </c>
      <c r="D316" t="s">
        <v>827</v>
      </c>
      <c r="E316" t="s">
        <v>828</v>
      </c>
      <c r="F316" t="s">
        <v>107</v>
      </c>
      <c r="G316" s="26">
        <v>12.73536</v>
      </c>
      <c r="H316" s="26">
        <v>6.049296</v>
      </c>
      <c r="I316" s="26">
        <v>6.686064</v>
      </c>
    </row>
    <row r="317" spans="2:9">
      <c r="B317" t="s">
        <v>479</v>
      </c>
      <c r="C317" t="s">
        <v>832</v>
      </c>
      <c r="D317" t="s">
        <v>827</v>
      </c>
      <c r="E317" t="s">
        <v>830</v>
      </c>
      <c r="G317" s="26">
        <v>14.24719</v>
      </c>
      <c r="H317" s="26">
        <v>7.567682</v>
      </c>
      <c r="I317" s="26">
        <v>6.679508</v>
      </c>
    </row>
    <row r="318" spans="2:9">
      <c r="B318" t="s">
        <v>242</v>
      </c>
      <c r="C318" t="s">
        <v>829</v>
      </c>
      <c r="D318" t="s">
        <v>827</v>
      </c>
      <c r="E318" t="s">
        <v>830</v>
      </c>
      <c r="G318" s="26">
        <v>6.66613</v>
      </c>
      <c r="H318" s="27">
        <v>0</v>
      </c>
      <c r="I318" s="26">
        <v>6.66613</v>
      </c>
    </row>
    <row r="319" spans="2:9">
      <c r="B319" t="s">
        <v>358</v>
      </c>
      <c r="C319" t="s">
        <v>829</v>
      </c>
      <c r="D319" t="s">
        <v>827</v>
      </c>
      <c r="E319" t="s">
        <v>830</v>
      </c>
      <c r="G319" s="26">
        <v>6.61487</v>
      </c>
      <c r="H319" s="27">
        <v>0</v>
      </c>
      <c r="I319" s="26">
        <v>6.61487</v>
      </c>
    </row>
    <row r="320" spans="2:9">
      <c r="B320" t="s">
        <v>624</v>
      </c>
      <c r="C320" t="s">
        <v>829</v>
      </c>
      <c r="D320" t="s">
        <v>827</v>
      </c>
      <c r="E320" t="s">
        <v>830</v>
      </c>
      <c r="G320" s="26">
        <v>6.504428</v>
      </c>
      <c r="H320" s="27">
        <v>0</v>
      </c>
      <c r="I320" s="26">
        <v>6.504428</v>
      </c>
    </row>
    <row r="321" spans="2:9">
      <c r="B321" t="s">
        <v>191</v>
      </c>
      <c r="C321" t="s">
        <v>829</v>
      </c>
      <c r="D321" t="s">
        <v>827</v>
      </c>
      <c r="E321" t="s">
        <v>830</v>
      </c>
      <c r="G321" s="26">
        <v>6.45876</v>
      </c>
      <c r="H321" s="27">
        <v>0</v>
      </c>
      <c r="I321" s="26">
        <v>6.45876</v>
      </c>
    </row>
    <row r="322" spans="2:9">
      <c r="B322" t="s">
        <v>677</v>
      </c>
      <c r="C322" t="s">
        <v>829</v>
      </c>
      <c r="D322" t="s">
        <v>827</v>
      </c>
      <c r="E322" t="s">
        <v>830</v>
      </c>
      <c r="G322" s="26">
        <v>6.457828</v>
      </c>
      <c r="H322" s="27">
        <v>0</v>
      </c>
      <c r="I322" s="26">
        <v>6.457828</v>
      </c>
    </row>
    <row r="323" spans="2:9">
      <c r="B323" t="s">
        <v>402</v>
      </c>
      <c r="C323" t="s">
        <v>826</v>
      </c>
      <c r="D323" t="s">
        <v>827</v>
      </c>
      <c r="E323" t="s">
        <v>830</v>
      </c>
      <c r="G323" s="26">
        <v>6.441014</v>
      </c>
      <c r="H323" s="27">
        <v>0</v>
      </c>
      <c r="I323" s="26">
        <v>6.441014</v>
      </c>
    </row>
    <row r="324" spans="2:9">
      <c r="B324" t="s">
        <v>746</v>
      </c>
      <c r="C324" t="s">
        <v>833</v>
      </c>
      <c r="D324" t="s">
        <v>827</v>
      </c>
      <c r="E324" t="s">
        <v>830</v>
      </c>
      <c r="G324" s="26">
        <v>8.89471</v>
      </c>
      <c r="H324" s="26">
        <v>2.526257</v>
      </c>
      <c r="I324" s="26">
        <v>6.368453</v>
      </c>
    </row>
    <row r="325" spans="2:9">
      <c r="B325" t="s">
        <v>332</v>
      </c>
      <c r="C325" t="s">
        <v>829</v>
      </c>
      <c r="D325" t="s">
        <v>827</v>
      </c>
      <c r="E325" t="s">
        <v>830</v>
      </c>
      <c r="G325" s="26">
        <v>6.35158</v>
      </c>
      <c r="H325" s="27">
        <v>0</v>
      </c>
      <c r="I325" s="26">
        <v>6.35158</v>
      </c>
    </row>
    <row r="326" spans="2:9">
      <c r="B326" t="s">
        <v>582</v>
      </c>
      <c r="C326" t="s">
        <v>826</v>
      </c>
      <c r="D326" t="s">
        <v>827</v>
      </c>
      <c r="E326" t="s">
        <v>830</v>
      </c>
      <c r="G326" s="26">
        <v>6.23741</v>
      </c>
      <c r="H326" s="27">
        <v>0</v>
      </c>
      <c r="I326" s="26">
        <v>6.23741</v>
      </c>
    </row>
    <row r="327" spans="2:9">
      <c r="B327" t="s">
        <v>682</v>
      </c>
      <c r="C327" t="s">
        <v>833</v>
      </c>
      <c r="D327" t="s">
        <v>827</v>
      </c>
      <c r="E327" t="s">
        <v>830</v>
      </c>
      <c r="G327" s="26">
        <v>7.3872</v>
      </c>
      <c r="H327" s="26">
        <v>1.19187</v>
      </c>
      <c r="I327" s="26">
        <v>6.19533</v>
      </c>
    </row>
    <row r="328" spans="2:9">
      <c r="B328" t="s">
        <v>739</v>
      </c>
      <c r="C328" t="s">
        <v>833</v>
      </c>
      <c r="D328" t="s">
        <v>827</v>
      </c>
      <c r="E328" t="s">
        <v>830</v>
      </c>
      <c r="G328" s="26">
        <v>6.173144</v>
      </c>
      <c r="H328" s="27">
        <v>0</v>
      </c>
      <c r="I328" s="26">
        <v>6.173144</v>
      </c>
    </row>
    <row r="329" spans="2:9">
      <c r="B329" t="s">
        <v>286</v>
      </c>
      <c r="C329" t="s">
        <v>826</v>
      </c>
      <c r="D329" t="s">
        <v>827</v>
      </c>
      <c r="E329" t="s">
        <v>830</v>
      </c>
      <c r="G329" s="26">
        <v>6.163316</v>
      </c>
      <c r="H329" s="27">
        <v>0</v>
      </c>
      <c r="I329" s="26">
        <v>6.163316</v>
      </c>
    </row>
    <row r="330" spans="2:9">
      <c r="B330" t="s">
        <v>754</v>
      </c>
      <c r="C330" t="s">
        <v>834</v>
      </c>
      <c r="D330" t="s">
        <v>827</v>
      </c>
      <c r="E330" t="s">
        <v>830</v>
      </c>
      <c r="G330" s="26">
        <v>5.970606</v>
      </c>
      <c r="H330" s="27">
        <v>0</v>
      </c>
      <c r="I330" s="26">
        <v>5.970606</v>
      </c>
    </row>
    <row r="331" spans="2:9">
      <c r="B331" t="s">
        <v>706</v>
      </c>
      <c r="C331" t="s">
        <v>826</v>
      </c>
      <c r="D331" t="s">
        <v>827</v>
      </c>
      <c r="E331" t="s">
        <v>830</v>
      </c>
      <c r="G331" s="26">
        <v>5.889308</v>
      </c>
      <c r="H331" s="27">
        <v>0</v>
      </c>
      <c r="I331" s="26">
        <v>5.889308</v>
      </c>
    </row>
    <row r="332" spans="2:9">
      <c r="B332" t="s">
        <v>221</v>
      </c>
      <c r="C332" t="s">
        <v>829</v>
      </c>
      <c r="D332" t="s">
        <v>827</v>
      </c>
      <c r="E332" t="s">
        <v>830</v>
      </c>
      <c r="G332" s="26">
        <v>5.86084</v>
      </c>
      <c r="H332" s="27">
        <v>0</v>
      </c>
      <c r="I332" s="26">
        <v>5.86084</v>
      </c>
    </row>
    <row r="333" spans="2:9">
      <c r="B333" t="s">
        <v>466</v>
      </c>
      <c r="C333" t="s">
        <v>834</v>
      </c>
      <c r="D333" t="s">
        <v>827</v>
      </c>
      <c r="E333" t="s">
        <v>830</v>
      </c>
      <c r="G333" s="26">
        <v>5.8572</v>
      </c>
      <c r="H333" s="27">
        <v>0</v>
      </c>
      <c r="I333" s="26">
        <v>5.8572</v>
      </c>
    </row>
    <row r="334" spans="2:9">
      <c r="B334" t="s">
        <v>737</v>
      </c>
      <c r="C334" t="s">
        <v>829</v>
      </c>
      <c r="D334" t="s">
        <v>827</v>
      </c>
      <c r="E334" t="s">
        <v>830</v>
      </c>
      <c r="G334" s="26">
        <v>5.855756</v>
      </c>
      <c r="H334" s="27">
        <v>0</v>
      </c>
      <c r="I334" s="26">
        <v>5.855756</v>
      </c>
    </row>
    <row r="335" spans="2:9">
      <c r="B335" t="s">
        <v>709</v>
      </c>
      <c r="C335" t="s">
        <v>826</v>
      </c>
      <c r="D335" t="s">
        <v>827</v>
      </c>
      <c r="E335" t="s">
        <v>830</v>
      </c>
      <c r="G335" s="26">
        <v>5.85296</v>
      </c>
      <c r="H335" s="27">
        <v>0</v>
      </c>
      <c r="I335" s="26">
        <v>5.85296</v>
      </c>
    </row>
    <row r="336" spans="2:9">
      <c r="B336" t="s">
        <v>121</v>
      </c>
      <c r="C336" t="s">
        <v>833</v>
      </c>
      <c r="D336" t="s">
        <v>827</v>
      </c>
      <c r="E336" t="s">
        <v>830</v>
      </c>
      <c r="G336" s="26">
        <v>5.82097</v>
      </c>
      <c r="H336" s="27">
        <v>0</v>
      </c>
      <c r="I336" s="26">
        <v>5.82097</v>
      </c>
    </row>
    <row r="337" spans="2:9">
      <c r="B337" t="s">
        <v>493</v>
      </c>
      <c r="C337" t="s">
        <v>834</v>
      </c>
      <c r="D337" t="s">
        <v>827</v>
      </c>
      <c r="E337" t="s">
        <v>830</v>
      </c>
      <c r="G337" s="26">
        <v>5.796</v>
      </c>
      <c r="H337" s="27">
        <v>0</v>
      </c>
      <c r="I337" s="26">
        <v>5.796</v>
      </c>
    </row>
    <row r="338" spans="2:9">
      <c r="B338" t="s">
        <v>662</v>
      </c>
      <c r="C338" t="s">
        <v>829</v>
      </c>
      <c r="D338" t="s">
        <v>827</v>
      </c>
      <c r="E338" t="s">
        <v>830</v>
      </c>
      <c r="G338" s="26">
        <v>5.722014</v>
      </c>
      <c r="H338" s="27">
        <v>0</v>
      </c>
      <c r="I338" s="26">
        <v>5.722014</v>
      </c>
    </row>
    <row r="339" spans="2:9">
      <c r="B339" t="s">
        <v>277</v>
      </c>
      <c r="C339" t="s">
        <v>834</v>
      </c>
      <c r="D339" t="s">
        <v>827</v>
      </c>
      <c r="E339" t="s">
        <v>830</v>
      </c>
      <c r="G339" s="26">
        <v>13.119539</v>
      </c>
      <c r="H339" s="26">
        <v>7.5</v>
      </c>
      <c r="I339" s="26">
        <v>5.619539</v>
      </c>
    </row>
    <row r="340" spans="2:9">
      <c r="B340" t="s">
        <v>407</v>
      </c>
      <c r="C340" t="s">
        <v>829</v>
      </c>
      <c r="D340" t="s">
        <v>827</v>
      </c>
      <c r="E340" t="s">
        <v>830</v>
      </c>
      <c r="G340" s="26">
        <v>5.545866</v>
      </c>
      <c r="H340" s="27">
        <v>0</v>
      </c>
      <c r="I340" s="26">
        <v>5.545866</v>
      </c>
    </row>
    <row r="341" spans="2:9">
      <c r="B341" t="s">
        <v>283</v>
      </c>
      <c r="C341" t="s">
        <v>826</v>
      </c>
      <c r="D341" t="s">
        <v>827</v>
      </c>
      <c r="E341" t="s">
        <v>830</v>
      </c>
      <c r="G341" s="26">
        <v>5.380769</v>
      </c>
      <c r="H341" s="27">
        <v>0</v>
      </c>
      <c r="I341" s="26">
        <v>5.380769</v>
      </c>
    </row>
    <row r="342" spans="2:9">
      <c r="B342" t="s">
        <v>98</v>
      </c>
      <c r="C342" t="s">
        <v>834</v>
      </c>
      <c r="D342" t="s">
        <v>827</v>
      </c>
      <c r="E342" t="s">
        <v>830</v>
      </c>
      <c r="G342" s="26">
        <v>12.03264</v>
      </c>
      <c r="H342" s="26">
        <v>6.653966</v>
      </c>
      <c r="I342" s="26">
        <v>5.378674</v>
      </c>
    </row>
    <row r="343" spans="2:9">
      <c r="B343" t="s">
        <v>74</v>
      </c>
      <c r="C343" t="s">
        <v>834</v>
      </c>
      <c r="D343" t="s">
        <v>827</v>
      </c>
      <c r="E343" t="s">
        <v>830</v>
      </c>
      <c r="G343" s="26">
        <v>13.13856</v>
      </c>
      <c r="H343" s="26">
        <v>7.810216</v>
      </c>
      <c r="I343" s="26">
        <v>5.328344</v>
      </c>
    </row>
    <row r="344" spans="2:9">
      <c r="B344" t="s">
        <v>427</v>
      </c>
      <c r="C344" t="s">
        <v>829</v>
      </c>
      <c r="D344" t="s">
        <v>827</v>
      </c>
      <c r="E344" t="s">
        <v>830</v>
      </c>
      <c r="G344" s="26">
        <v>5.29609</v>
      </c>
      <c r="H344" s="27">
        <v>0</v>
      </c>
      <c r="I344" s="26">
        <v>5.29609</v>
      </c>
    </row>
    <row r="345" spans="2:9">
      <c r="B345" t="s">
        <v>216</v>
      </c>
      <c r="C345" t="s">
        <v>829</v>
      </c>
      <c r="D345" t="s">
        <v>827</v>
      </c>
      <c r="E345" t="s">
        <v>830</v>
      </c>
      <c r="G345" s="26">
        <v>5.293799</v>
      </c>
      <c r="H345" s="27">
        <v>0</v>
      </c>
      <c r="I345" s="26">
        <v>5.293799</v>
      </c>
    </row>
    <row r="346" spans="2:9">
      <c r="B346" t="s">
        <v>194</v>
      </c>
      <c r="C346" t="s">
        <v>826</v>
      </c>
      <c r="D346" t="s">
        <v>827</v>
      </c>
      <c r="E346" t="s">
        <v>830</v>
      </c>
      <c r="G346" s="26">
        <v>5.281384</v>
      </c>
      <c r="H346" s="27">
        <v>0</v>
      </c>
      <c r="I346" s="26">
        <v>5.281384</v>
      </c>
    </row>
    <row r="347" spans="2:9">
      <c r="B347" t="s">
        <v>174</v>
      </c>
      <c r="C347" t="s">
        <v>829</v>
      </c>
      <c r="D347" t="s">
        <v>827</v>
      </c>
      <c r="E347" t="s">
        <v>830</v>
      </c>
      <c r="G347" s="26">
        <v>184.290764</v>
      </c>
      <c r="H347" s="26">
        <v>179.02148</v>
      </c>
      <c r="I347" s="26">
        <v>5.269284</v>
      </c>
    </row>
    <row r="348" spans="2:9">
      <c r="B348" t="s">
        <v>522</v>
      </c>
      <c r="C348" t="s">
        <v>834</v>
      </c>
      <c r="D348" t="s">
        <v>827</v>
      </c>
      <c r="E348" t="s">
        <v>830</v>
      </c>
      <c r="G348" s="26">
        <v>5.23728</v>
      </c>
      <c r="H348" s="27">
        <v>0</v>
      </c>
      <c r="I348" s="26">
        <v>5.23728</v>
      </c>
    </row>
    <row r="349" spans="2:9">
      <c r="B349" t="s">
        <v>85</v>
      </c>
      <c r="C349" t="s">
        <v>834</v>
      </c>
      <c r="D349" t="s">
        <v>827</v>
      </c>
      <c r="E349" t="s">
        <v>830</v>
      </c>
      <c r="G349" s="26">
        <v>5.32008</v>
      </c>
      <c r="H349" s="26">
        <v>0.096224</v>
      </c>
      <c r="I349" s="26">
        <v>5.223856</v>
      </c>
    </row>
    <row r="350" spans="2:9">
      <c r="B350" t="s">
        <v>639</v>
      </c>
      <c r="C350" t="s">
        <v>834</v>
      </c>
      <c r="D350" t="s">
        <v>827</v>
      </c>
      <c r="E350" t="s">
        <v>830</v>
      </c>
      <c r="G350" s="26">
        <v>5.148</v>
      </c>
      <c r="H350" s="27">
        <v>0</v>
      </c>
      <c r="I350" s="26">
        <v>5.148</v>
      </c>
    </row>
    <row r="351" spans="2:9">
      <c r="B351" t="s">
        <v>250</v>
      </c>
      <c r="C351" t="s">
        <v>829</v>
      </c>
      <c r="D351" t="s">
        <v>827</v>
      </c>
      <c r="E351" t="s">
        <v>830</v>
      </c>
      <c r="G351" s="26">
        <v>5.025344</v>
      </c>
      <c r="H351" s="27">
        <v>0</v>
      </c>
      <c r="I351" s="26">
        <v>5.025344</v>
      </c>
    </row>
    <row r="352" spans="2:9">
      <c r="B352" t="s">
        <v>760</v>
      </c>
      <c r="C352" t="s">
        <v>826</v>
      </c>
      <c r="D352" t="s">
        <v>827</v>
      </c>
      <c r="E352" t="s">
        <v>830</v>
      </c>
      <c r="G352" s="27">
        <v>5.003908</v>
      </c>
      <c r="H352" s="27">
        <v>0</v>
      </c>
      <c r="I352" s="27">
        <v>5.003908</v>
      </c>
    </row>
    <row r="353" spans="2:9">
      <c r="B353" t="s">
        <v>254</v>
      </c>
      <c r="C353" t="s">
        <v>829</v>
      </c>
      <c r="D353" t="s">
        <v>827</v>
      </c>
      <c r="E353" t="s">
        <v>830</v>
      </c>
      <c r="G353" s="26">
        <v>104.98514</v>
      </c>
      <c r="H353" s="27">
        <v>100</v>
      </c>
      <c r="I353" s="26">
        <v>4.98514</v>
      </c>
    </row>
    <row r="354" spans="2:9">
      <c r="B354" t="s">
        <v>91</v>
      </c>
      <c r="C354" t="s">
        <v>834</v>
      </c>
      <c r="D354" t="s">
        <v>827</v>
      </c>
      <c r="E354" t="s">
        <v>830</v>
      </c>
      <c r="G354" s="26">
        <v>4.972472</v>
      </c>
      <c r="H354" s="27">
        <v>0</v>
      </c>
      <c r="I354" s="26">
        <v>4.972472</v>
      </c>
    </row>
    <row r="355" spans="2:9">
      <c r="B355" t="s">
        <v>122</v>
      </c>
      <c r="C355" t="s">
        <v>834</v>
      </c>
      <c r="D355" t="s">
        <v>827</v>
      </c>
      <c r="E355" t="s">
        <v>830</v>
      </c>
      <c r="G355" s="26">
        <v>12.382042</v>
      </c>
      <c r="H355" s="26">
        <v>7.5</v>
      </c>
      <c r="I355" s="26">
        <v>4.882042</v>
      </c>
    </row>
    <row r="356" spans="2:9">
      <c r="B356" t="s">
        <v>646</v>
      </c>
      <c r="C356" t="s">
        <v>834</v>
      </c>
      <c r="D356" t="s">
        <v>827</v>
      </c>
      <c r="E356" t="s">
        <v>830</v>
      </c>
      <c r="G356" s="26">
        <v>4.86567</v>
      </c>
      <c r="H356" s="27">
        <v>0</v>
      </c>
      <c r="I356" s="26">
        <v>4.86567</v>
      </c>
    </row>
    <row r="357" spans="2:9">
      <c r="B357" t="s">
        <v>378</v>
      </c>
      <c r="C357" t="s">
        <v>826</v>
      </c>
      <c r="D357" t="s">
        <v>827</v>
      </c>
      <c r="E357" t="s">
        <v>830</v>
      </c>
      <c r="G357" s="26">
        <v>4.860846</v>
      </c>
      <c r="H357" s="27">
        <v>0</v>
      </c>
      <c r="I357" s="26">
        <v>4.860846</v>
      </c>
    </row>
    <row r="358" spans="2:9">
      <c r="B358" t="s">
        <v>73</v>
      </c>
      <c r="C358" t="s">
        <v>834</v>
      </c>
      <c r="D358" t="s">
        <v>827</v>
      </c>
      <c r="E358" t="s">
        <v>830</v>
      </c>
      <c r="G358" s="26">
        <v>4.85928</v>
      </c>
      <c r="H358" s="27">
        <v>0</v>
      </c>
      <c r="I358" s="26">
        <v>4.85928</v>
      </c>
    </row>
    <row r="359" spans="2:9">
      <c r="B359" t="s">
        <v>71</v>
      </c>
      <c r="C359" t="s">
        <v>834</v>
      </c>
      <c r="D359" t="s">
        <v>827</v>
      </c>
      <c r="E359" t="s">
        <v>830</v>
      </c>
      <c r="G359" s="26">
        <v>4.85712</v>
      </c>
      <c r="H359" s="27">
        <v>0</v>
      </c>
      <c r="I359" s="26">
        <v>4.85712</v>
      </c>
    </row>
    <row r="360" spans="2:9">
      <c r="B360" t="s">
        <v>728</v>
      </c>
      <c r="C360" t="s">
        <v>834</v>
      </c>
      <c r="D360" t="s">
        <v>827</v>
      </c>
      <c r="E360" t="s">
        <v>830</v>
      </c>
      <c r="G360" s="26">
        <v>4.843764</v>
      </c>
      <c r="H360" s="27">
        <v>0</v>
      </c>
      <c r="I360" s="26">
        <v>4.843764</v>
      </c>
    </row>
    <row r="361" spans="2:9">
      <c r="B361" t="s">
        <v>818</v>
      </c>
      <c r="C361" t="s">
        <v>834</v>
      </c>
      <c r="D361" t="s">
        <v>827</v>
      </c>
      <c r="E361" t="s">
        <v>830</v>
      </c>
      <c r="G361" s="26">
        <v>4.83984</v>
      </c>
      <c r="H361" s="27">
        <v>0</v>
      </c>
      <c r="I361" s="26">
        <v>4.83984</v>
      </c>
    </row>
    <row r="362" spans="2:9">
      <c r="B362" t="s">
        <v>411</v>
      </c>
      <c r="C362" t="s">
        <v>826</v>
      </c>
      <c r="D362" t="s">
        <v>827</v>
      </c>
      <c r="E362" t="s">
        <v>830</v>
      </c>
      <c r="G362" s="26">
        <v>4.826828</v>
      </c>
      <c r="H362" s="27">
        <v>0</v>
      </c>
      <c r="I362" s="26">
        <v>4.826828</v>
      </c>
    </row>
    <row r="363" spans="2:9">
      <c r="B363" t="s">
        <v>650</v>
      </c>
      <c r="C363" t="s">
        <v>829</v>
      </c>
      <c r="D363" t="s">
        <v>827</v>
      </c>
      <c r="E363" t="s">
        <v>830</v>
      </c>
      <c r="G363" s="26">
        <v>5.147016</v>
      </c>
      <c r="H363" s="26">
        <v>0.328996</v>
      </c>
      <c r="I363" s="26">
        <v>4.81802</v>
      </c>
    </row>
    <row r="364" spans="2:9">
      <c r="B364" t="s">
        <v>488</v>
      </c>
      <c r="C364" t="s">
        <v>834</v>
      </c>
      <c r="D364" t="s">
        <v>827</v>
      </c>
      <c r="E364" t="s">
        <v>830</v>
      </c>
      <c r="G364" s="26">
        <v>12.123937</v>
      </c>
      <c r="H364" s="26">
        <v>7.3914</v>
      </c>
      <c r="I364" s="26">
        <v>4.732537</v>
      </c>
    </row>
    <row r="365" spans="2:9">
      <c r="B365" t="s">
        <v>63</v>
      </c>
      <c r="C365" t="s">
        <v>834</v>
      </c>
      <c r="D365" t="s">
        <v>827</v>
      </c>
      <c r="E365" t="s">
        <v>830</v>
      </c>
      <c r="G365" s="26">
        <v>4.78152</v>
      </c>
      <c r="H365" s="26">
        <v>0.106256</v>
      </c>
      <c r="I365" s="26">
        <v>4.675264</v>
      </c>
    </row>
    <row r="366" spans="2:9">
      <c r="B366" t="s">
        <v>734</v>
      </c>
      <c r="C366" t="s">
        <v>834</v>
      </c>
      <c r="D366" t="s">
        <v>827</v>
      </c>
      <c r="E366" t="s">
        <v>830</v>
      </c>
      <c r="G366" s="26">
        <v>4.66848</v>
      </c>
      <c r="H366" s="27">
        <v>0</v>
      </c>
      <c r="I366" s="26">
        <v>4.66848</v>
      </c>
    </row>
    <row r="367" spans="2:9">
      <c r="B367" t="s">
        <v>318</v>
      </c>
      <c r="C367" t="s">
        <v>826</v>
      </c>
      <c r="D367" t="s">
        <v>827</v>
      </c>
      <c r="E367" t="s">
        <v>830</v>
      </c>
      <c r="G367" s="26">
        <v>4.617876</v>
      </c>
      <c r="H367" s="27">
        <v>0</v>
      </c>
      <c r="I367" s="26">
        <v>4.617876</v>
      </c>
    </row>
    <row r="368" spans="2:9">
      <c r="B368" t="s">
        <v>682</v>
      </c>
      <c r="C368" t="s">
        <v>834</v>
      </c>
      <c r="D368" t="s">
        <v>827</v>
      </c>
      <c r="E368" t="s">
        <v>830</v>
      </c>
      <c r="G368" s="26">
        <v>5.49216</v>
      </c>
      <c r="H368" s="26">
        <v>0.889932</v>
      </c>
      <c r="I368" s="26">
        <v>4.602228</v>
      </c>
    </row>
    <row r="369" spans="2:9">
      <c r="B369" t="s">
        <v>15</v>
      </c>
      <c r="C369" t="s">
        <v>829</v>
      </c>
      <c r="D369" t="s">
        <v>827</v>
      </c>
      <c r="E369" t="s">
        <v>830</v>
      </c>
      <c r="G369" s="26">
        <v>4.588702</v>
      </c>
      <c r="H369" s="27">
        <v>0</v>
      </c>
      <c r="I369" s="26">
        <v>4.588702</v>
      </c>
    </row>
    <row r="370" spans="2:9">
      <c r="B370" t="s">
        <v>413</v>
      </c>
      <c r="C370" t="s">
        <v>829</v>
      </c>
      <c r="D370" t="s">
        <v>827</v>
      </c>
      <c r="E370" t="s">
        <v>830</v>
      </c>
      <c r="G370" s="26">
        <v>4.577984</v>
      </c>
      <c r="H370" s="27">
        <v>0</v>
      </c>
      <c r="I370" s="26">
        <v>4.577984</v>
      </c>
    </row>
    <row r="371" spans="2:9">
      <c r="B371" t="s">
        <v>498</v>
      </c>
      <c r="C371" t="s">
        <v>829</v>
      </c>
      <c r="D371" t="s">
        <v>827</v>
      </c>
      <c r="E371" t="s">
        <v>830</v>
      </c>
      <c r="G371" s="26">
        <v>4.511958</v>
      </c>
      <c r="H371" s="27">
        <v>0</v>
      </c>
      <c r="I371" s="26">
        <v>4.511958</v>
      </c>
    </row>
    <row r="372" spans="2:9">
      <c r="B372" t="s">
        <v>352</v>
      </c>
      <c r="C372" t="s">
        <v>826</v>
      </c>
      <c r="D372" t="s">
        <v>827</v>
      </c>
      <c r="E372" t="s">
        <v>830</v>
      </c>
      <c r="G372" s="26">
        <v>4.479192</v>
      </c>
      <c r="H372" s="27">
        <v>0</v>
      </c>
      <c r="I372" s="26">
        <v>4.479192</v>
      </c>
    </row>
    <row r="373" spans="2:9">
      <c r="B373" t="s">
        <v>130</v>
      </c>
      <c r="C373" t="s">
        <v>829</v>
      </c>
      <c r="D373" t="s">
        <v>827</v>
      </c>
      <c r="E373" t="s">
        <v>830</v>
      </c>
      <c r="G373" s="26">
        <v>4.442844</v>
      </c>
      <c r="H373" s="27">
        <v>0</v>
      </c>
      <c r="I373" s="26">
        <v>4.442844</v>
      </c>
    </row>
    <row r="374" spans="2:9">
      <c r="B374" t="s">
        <v>516</v>
      </c>
      <c r="C374" t="s">
        <v>829</v>
      </c>
      <c r="D374" t="s">
        <v>827</v>
      </c>
      <c r="E374" t="s">
        <v>828</v>
      </c>
      <c r="F374" t="s">
        <v>517</v>
      </c>
      <c r="G374" s="26">
        <v>4.417176</v>
      </c>
      <c r="H374" s="27">
        <v>0</v>
      </c>
      <c r="I374" s="26">
        <v>4.417176</v>
      </c>
    </row>
    <row r="375" spans="2:9">
      <c r="B375" t="s">
        <v>129</v>
      </c>
      <c r="C375" t="s">
        <v>826</v>
      </c>
      <c r="D375" t="s">
        <v>827</v>
      </c>
      <c r="E375" t="s">
        <v>830</v>
      </c>
      <c r="G375" s="26">
        <v>4.386458</v>
      </c>
      <c r="H375" s="27">
        <v>0</v>
      </c>
      <c r="I375" s="26">
        <v>4.386458</v>
      </c>
    </row>
    <row r="376" spans="2:9">
      <c r="B376" t="s">
        <v>234</v>
      </c>
      <c r="C376" t="s">
        <v>833</v>
      </c>
      <c r="D376" t="s">
        <v>827</v>
      </c>
      <c r="E376" t="s">
        <v>830</v>
      </c>
      <c r="G376" s="26">
        <v>11.383714</v>
      </c>
      <c r="H376" s="27">
        <v>7</v>
      </c>
      <c r="I376" s="26">
        <v>4.383714</v>
      </c>
    </row>
    <row r="377" spans="2:9">
      <c r="B377" t="s">
        <v>304</v>
      </c>
      <c r="C377" t="s">
        <v>826</v>
      </c>
      <c r="D377" t="s">
        <v>827</v>
      </c>
      <c r="E377" t="s">
        <v>830</v>
      </c>
      <c r="G377" s="26">
        <v>4.319456</v>
      </c>
      <c r="H377" s="27">
        <v>0</v>
      </c>
      <c r="I377" s="26">
        <v>4.319456</v>
      </c>
    </row>
    <row r="378" spans="2:9">
      <c r="B378" t="s">
        <v>794</v>
      </c>
      <c r="C378" t="s">
        <v>826</v>
      </c>
      <c r="D378" t="s">
        <v>827</v>
      </c>
      <c r="E378" t="s">
        <v>830</v>
      </c>
      <c r="G378" s="26">
        <v>4.309102</v>
      </c>
      <c r="H378" s="27">
        <v>0</v>
      </c>
      <c r="I378" s="26">
        <v>4.309102</v>
      </c>
    </row>
    <row r="379" spans="2:9">
      <c r="B379" t="s">
        <v>54</v>
      </c>
      <c r="C379" t="s">
        <v>834</v>
      </c>
      <c r="D379" t="s">
        <v>827</v>
      </c>
      <c r="E379" t="s">
        <v>830</v>
      </c>
      <c r="G379" s="26">
        <v>10.76616</v>
      </c>
      <c r="H379" s="26">
        <v>6.463756</v>
      </c>
      <c r="I379" s="26">
        <v>4.302404</v>
      </c>
    </row>
    <row r="380" spans="2:9">
      <c r="B380" t="s">
        <v>340</v>
      </c>
      <c r="C380" t="s">
        <v>829</v>
      </c>
      <c r="D380" t="s">
        <v>827</v>
      </c>
      <c r="E380" t="s">
        <v>830</v>
      </c>
      <c r="G380" s="26">
        <v>4.181748</v>
      </c>
      <c r="H380" s="27">
        <v>0</v>
      </c>
      <c r="I380" s="26">
        <v>4.181748</v>
      </c>
    </row>
    <row r="381" spans="2:9">
      <c r="B381" t="s">
        <v>495</v>
      </c>
      <c r="C381" t="s">
        <v>826</v>
      </c>
      <c r="D381" t="s">
        <v>827</v>
      </c>
      <c r="E381" t="s">
        <v>830</v>
      </c>
      <c r="G381" s="26">
        <v>4.171166</v>
      </c>
      <c r="H381" s="27">
        <v>0</v>
      </c>
      <c r="I381" s="26">
        <v>4.171166</v>
      </c>
    </row>
    <row r="382" spans="2:9">
      <c r="B382" t="s">
        <v>384</v>
      </c>
      <c r="C382" t="s">
        <v>834</v>
      </c>
      <c r="D382" t="s">
        <v>827</v>
      </c>
      <c r="E382" t="s">
        <v>830</v>
      </c>
      <c r="G382" s="26">
        <v>11.644192</v>
      </c>
      <c r="H382" s="26">
        <v>7.5</v>
      </c>
      <c r="I382" s="26">
        <v>4.144192</v>
      </c>
    </row>
    <row r="383" spans="2:9">
      <c r="B383" t="s">
        <v>191</v>
      </c>
      <c r="C383" t="s">
        <v>826</v>
      </c>
      <c r="D383" t="s">
        <v>827</v>
      </c>
      <c r="E383" t="s">
        <v>830</v>
      </c>
      <c r="G383" s="26">
        <v>4.089078</v>
      </c>
      <c r="H383" s="27">
        <v>0</v>
      </c>
      <c r="I383" s="26">
        <v>4.089078</v>
      </c>
    </row>
    <row r="384" spans="2:9">
      <c r="B384" t="s">
        <v>490</v>
      </c>
      <c r="C384" t="s">
        <v>834</v>
      </c>
      <c r="D384" t="s">
        <v>827</v>
      </c>
      <c r="E384" t="s">
        <v>828</v>
      </c>
      <c r="F384" t="s">
        <v>491</v>
      </c>
      <c r="G384" s="26">
        <v>10.88352</v>
      </c>
      <c r="H384" s="26">
        <v>6.804664</v>
      </c>
      <c r="I384" s="26">
        <v>4.078856</v>
      </c>
    </row>
    <row r="385" spans="2:9">
      <c r="B385" t="s">
        <v>461</v>
      </c>
      <c r="C385" t="s">
        <v>834</v>
      </c>
      <c r="D385" t="s">
        <v>827</v>
      </c>
      <c r="E385" t="s">
        <v>830</v>
      </c>
      <c r="G385" s="26">
        <v>4.032</v>
      </c>
      <c r="H385" s="27">
        <v>0</v>
      </c>
      <c r="I385" s="26">
        <v>4.032</v>
      </c>
    </row>
    <row r="386" spans="2:9">
      <c r="B386" t="s">
        <v>317</v>
      </c>
      <c r="C386" t="s">
        <v>826</v>
      </c>
      <c r="D386" t="s">
        <v>827</v>
      </c>
      <c r="E386" t="s">
        <v>830</v>
      </c>
      <c r="G386" s="26">
        <v>3.98197</v>
      </c>
      <c r="H386" s="27">
        <v>0</v>
      </c>
      <c r="I386" s="26">
        <v>3.98197</v>
      </c>
    </row>
    <row r="387" spans="2:9">
      <c r="B387" t="s">
        <v>644</v>
      </c>
      <c r="C387" t="s">
        <v>833</v>
      </c>
      <c r="D387" t="s">
        <v>827</v>
      </c>
      <c r="E387" t="s">
        <v>830</v>
      </c>
      <c r="G387" s="26">
        <v>3.92364</v>
      </c>
      <c r="H387" s="27">
        <v>0</v>
      </c>
      <c r="I387" s="26">
        <v>3.92364</v>
      </c>
    </row>
    <row r="388" spans="2:9">
      <c r="B388" t="s">
        <v>178</v>
      </c>
      <c r="C388" t="s">
        <v>826</v>
      </c>
      <c r="D388" t="s">
        <v>827</v>
      </c>
      <c r="E388" t="s">
        <v>830</v>
      </c>
      <c r="G388" s="26">
        <v>3.843102</v>
      </c>
      <c r="H388" s="27">
        <v>0</v>
      </c>
      <c r="I388" s="26">
        <v>3.843102</v>
      </c>
    </row>
    <row r="389" spans="2:9">
      <c r="B389" t="s">
        <v>487</v>
      </c>
      <c r="C389" t="s">
        <v>834</v>
      </c>
      <c r="D389" t="s">
        <v>827</v>
      </c>
      <c r="E389" t="s">
        <v>830</v>
      </c>
      <c r="G389" s="26">
        <v>3.776615</v>
      </c>
      <c r="H389" s="27">
        <v>0</v>
      </c>
      <c r="I389" s="26">
        <v>3.776615</v>
      </c>
    </row>
    <row r="390" spans="2:9">
      <c r="B390" t="s">
        <v>299</v>
      </c>
      <c r="C390" t="s">
        <v>829</v>
      </c>
      <c r="D390" t="s">
        <v>827</v>
      </c>
      <c r="E390" t="s">
        <v>830</v>
      </c>
      <c r="G390" s="26">
        <v>3.753446</v>
      </c>
      <c r="H390" s="27">
        <v>0</v>
      </c>
      <c r="I390" s="26">
        <v>3.753446</v>
      </c>
    </row>
    <row r="391" spans="2:9">
      <c r="B391" t="s">
        <v>755</v>
      </c>
      <c r="C391" t="s">
        <v>834</v>
      </c>
      <c r="D391" t="s">
        <v>827</v>
      </c>
      <c r="E391" t="s">
        <v>830</v>
      </c>
      <c r="G391" s="26">
        <v>3.732552</v>
      </c>
      <c r="H391" s="27">
        <v>0</v>
      </c>
      <c r="I391" s="26">
        <v>3.732552</v>
      </c>
    </row>
    <row r="392" spans="2:9">
      <c r="B392" t="s">
        <v>463</v>
      </c>
      <c r="C392" t="s">
        <v>833</v>
      </c>
      <c r="D392" t="s">
        <v>827</v>
      </c>
      <c r="E392" t="s">
        <v>830</v>
      </c>
      <c r="G392" s="26">
        <v>10.711834</v>
      </c>
      <c r="H392" s="27">
        <v>7</v>
      </c>
      <c r="I392" s="26">
        <v>3.711834</v>
      </c>
    </row>
    <row r="393" spans="2:9">
      <c r="B393" t="s">
        <v>716</v>
      </c>
      <c r="C393" t="s">
        <v>833</v>
      </c>
      <c r="D393" t="s">
        <v>827</v>
      </c>
      <c r="E393" t="s">
        <v>830</v>
      </c>
      <c r="G393" s="26">
        <v>3.70332</v>
      </c>
      <c r="H393" s="27">
        <v>0</v>
      </c>
      <c r="I393" s="26">
        <v>3.70332</v>
      </c>
    </row>
    <row r="394" spans="2:9">
      <c r="B394" t="s">
        <v>102</v>
      </c>
      <c r="C394" t="s">
        <v>832</v>
      </c>
      <c r="D394" t="s">
        <v>827</v>
      </c>
      <c r="E394" t="s">
        <v>828</v>
      </c>
      <c r="F394" t="s">
        <v>103</v>
      </c>
      <c r="G394" s="26">
        <v>19.111162</v>
      </c>
      <c r="H394" s="26">
        <v>15.416068</v>
      </c>
      <c r="I394" s="26">
        <v>3.695094</v>
      </c>
    </row>
    <row r="395" spans="2:9">
      <c r="B395" t="s">
        <v>647</v>
      </c>
      <c r="C395" t="s">
        <v>834</v>
      </c>
      <c r="D395" t="s">
        <v>827</v>
      </c>
      <c r="E395" t="s">
        <v>830</v>
      </c>
      <c r="G395" s="26">
        <v>3.6864</v>
      </c>
      <c r="H395" s="27">
        <v>0</v>
      </c>
      <c r="I395" s="26">
        <v>3.6864</v>
      </c>
    </row>
    <row r="396" spans="2:9">
      <c r="B396" t="s">
        <v>466</v>
      </c>
      <c r="C396" t="s">
        <v>832</v>
      </c>
      <c r="D396" t="s">
        <v>827</v>
      </c>
      <c r="E396" t="s">
        <v>830</v>
      </c>
      <c r="G396" s="26">
        <v>3.672</v>
      </c>
      <c r="H396" s="27">
        <v>0</v>
      </c>
      <c r="I396" s="26">
        <v>3.672</v>
      </c>
    </row>
    <row r="397" spans="2:9">
      <c r="B397" t="s">
        <v>76</v>
      </c>
      <c r="C397" t="s">
        <v>829</v>
      </c>
      <c r="D397" t="s">
        <v>827</v>
      </c>
      <c r="E397" t="s">
        <v>830</v>
      </c>
      <c r="G397" s="26">
        <v>3.647848</v>
      </c>
      <c r="H397" s="27">
        <v>0</v>
      </c>
      <c r="I397" s="26">
        <v>3.647848</v>
      </c>
    </row>
    <row r="398" spans="2:9">
      <c r="B398" t="s">
        <v>664</v>
      </c>
      <c r="C398" t="s">
        <v>834</v>
      </c>
      <c r="D398" t="s">
        <v>827</v>
      </c>
      <c r="E398" t="s">
        <v>830</v>
      </c>
      <c r="G398" s="26">
        <v>3.643265</v>
      </c>
      <c r="H398" s="27">
        <v>0</v>
      </c>
      <c r="I398" s="26">
        <v>3.643265</v>
      </c>
    </row>
    <row r="399" spans="2:9">
      <c r="B399" t="s">
        <v>32</v>
      </c>
      <c r="C399" t="s">
        <v>829</v>
      </c>
      <c r="D399" t="s">
        <v>827</v>
      </c>
      <c r="E399" t="s">
        <v>828</v>
      </c>
      <c r="F399" t="s">
        <v>33</v>
      </c>
      <c r="G399" s="26">
        <v>3.610568</v>
      </c>
      <c r="H399" s="27">
        <v>0</v>
      </c>
      <c r="I399" s="26">
        <v>3.610568</v>
      </c>
    </row>
    <row r="400" spans="2:9">
      <c r="B400" t="s">
        <v>40</v>
      </c>
      <c r="C400" t="s">
        <v>834</v>
      </c>
      <c r="D400" t="s">
        <v>827</v>
      </c>
      <c r="E400" t="s">
        <v>830</v>
      </c>
      <c r="G400" s="26">
        <v>3.59568</v>
      </c>
      <c r="H400" s="27">
        <v>0</v>
      </c>
      <c r="I400" s="26">
        <v>3.59568</v>
      </c>
    </row>
    <row r="401" spans="2:9">
      <c r="B401" t="s">
        <v>775</v>
      </c>
      <c r="C401" t="s">
        <v>834</v>
      </c>
      <c r="D401" t="s">
        <v>827</v>
      </c>
      <c r="E401" t="s">
        <v>830</v>
      </c>
      <c r="G401" s="26">
        <v>3.58992</v>
      </c>
      <c r="H401" s="27">
        <v>0</v>
      </c>
      <c r="I401" s="26">
        <v>3.58992</v>
      </c>
    </row>
    <row r="402" spans="2:9">
      <c r="B402" t="s">
        <v>179</v>
      </c>
      <c r="C402" t="s">
        <v>826</v>
      </c>
      <c r="D402" t="s">
        <v>827</v>
      </c>
      <c r="E402" t="s">
        <v>830</v>
      </c>
      <c r="G402" s="26">
        <v>4.336596</v>
      </c>
      <c r="H402" s="26">
        <v>0.748862</v>
      </c>
      <c r="I402" s="26">
        <v>3.587734</v>
      </c>
    </row>
    <row r="403" spans="2:9">
      <c r="B403" t="s">
        <v>630</v>
      </c>
      <c r="C403" t="s">
        <v>834</v>
      </c>
      <c r="D403" t="s">
        <v>827</v>
      </c>
      <c r="E403" t="s">
        <v>830</v>
      </c>
      <c r="G403" s="26">
        <v>3.58488</v>
      </c>
      <c r="H403" s="27">
        <v>0</v>
      </c>
      <c r="I403" s="26">
        <v>3.58488</v>
      </c>
    </row>
    <row r="404" spans="2:9">
      <c r="B404" t="s">
        <v>31</v>
      </c>
      <c r="C404" t="s">
        <v>834</v>
      </c>
      <c r="D404" t="s">
        <v>827</v>
      </c>
      <c r="E404" t="s">
        <v>830</v>
      </c>
      <c r="G404" s="26">
        <v>3.57768</v>
      </c>
      <c r="H404" s="27">
        <v>0</v>
      </c>
      <c r="I404" s="26">
        <v>3.57768</v>
      </c>
    </row>
    <row r="405" spans="2:9">
      <c r="B405" t="s">
        <v>548</v>
      </c>
      <c r="C405" t="s">
        <v>834</v>
      </c>
      <c r="D405" t="s">
        <v>827</v>
      </c>
      <c r="E405" t="s">
        <v>830</v>
      </c>
      <c r="G405" s="26">
        <v>3.56904</v>
      </c>
      <c r="H405" s="27">
        <v>0</v>
      </c>
      <c r="I405" s="26">
        <v>3.56904</v>
      </c>
    </row>
    <row r="406" spans="2:9">
      <c r="B406" t="s">
        <v>556</v>
      </c>
      <c r="C406" t="s">
        <v>834</v>
      </c>
      <c r="D406" t="s">
        <v>827</v>
      </c>
      <c r="E406" t="s">
        <v>830</v>
      </c>
      <c r="G406" s="26">
        <v>3.57336</v>
      </c>
      <c r="H406" s="26">
        <v>0.024815</v>
      </c>
      <c r="I406" s="26">
        <v>3.548545</v>
      </c>
    </row>
    <row r="407" spans="2:9">
      <c r="B407" t="s">
        <v>50</v>
      </c>
      <c r="C407" t="s">
        <v>834</v>
      </c>
      <c r="D407" t="s">
        <v>827</v>
      </c>
      <c r="E407" t="s">
        <v>830</v>
      </c>
      <c r="G407" s="26">
        <v>3.646356</v>
      </c>
      <c r="H407" s="26">
        <v>0.125496</v>
      </c>
      <c r="I407" s="26">
        <v>3.52086</v>
      </c>
    </row>
    <row r="408" spans="2:9">
      <c r="B408" t="s">
        <v>316</v>
      </c>
      <c r="C408" t="s">
        <v>826</v>
      </c>
      <c r="D408" t="s">
        <v>827</v>
      </c>
      <c r="E408" t="s">
        <v>830</v>
      </c>
      <c r="G408" s="26">
        <v>3.515504</v>
      </c>
      <c r="H408" s="27">
        <v>0</v>
      </c>
      <c r="I408" s="26">
        <v>3.515504</v>
      </c>
    </row>
    <row r="409" spans="2:9">
      <c r="B409" t="s">
        <v>80</v>
      </c>
      <c r="C409" t="s">
        <v>834</v>
      </c>
      <c r="D409" t="s">
        <v>827</v>
      </c>
      <c r="E409" t="s">
        <v>830</v>
      </c>
      <c r="G409" s="26">
        <v>3.58848</v>
      </c>
      <c r="H409" s="26">
        <v>0.084728</v>
      </c>
      <c r="I409" s="26">
        <v>3.503752</v>
      </c>
    </row>
    <row r="410" spans="2:9">
      <c r="B410" t="s">
        <v>177</v>
      </c>
      <c r="C410" t="s">
        <v>833</v>
      </c>
      <c r="D410" t="s">
        <v>827</v>
      </c>
      <c r="E410" t="s">
        <v>830</v>
      </c>
      <c r="G410" s="26">
        <v>11.331178</v>
      </c>
      <c r="H410" s="26">
        <v>7.881823</v>
      </c>
      <c r="I410" s="26">
        <v>3.449355</v>
      </c>
    </row>
    <row r="411" spans="2:9">
      <c r="B411" t="s">
        <v>13</v>
      </c>
      <c r="C411" t="s">
        <v>831</v>
      </c>
      <c r="D411" t="s">
        <v>827</v>
      </c>
      <c r="E411" t="s">
        <v>828</v>
      </c>
      <c r="F411" t="s">
        <v>14</v>
      </c>
      <c r="G411" s="26">
        <v>3.412984</v>
      </c>
      <c r="H411" s="27">
        <v>0</v>
      </c>
      <c r="I411" s="26">
        <v>3.412984</v>
      </c>
    </row>
    <row r="412" spans="2:9">
      <c r="B412" t="s">
        <v>325</v>
      </c>
      <c r="C412" t="s">
        <v>829</v>
      </c>
      <c r="D412" t="s">
        <v>827</v>
      </c>
      <c r="E412" t="s">
        <v>830</v>
      </c>
      <c r="G412" s="26">
        <v>3.41029</v>
      </c>
      <c r="H412" s="27">
        <v>0</v>
      </c>
      <c r="I412" s="26">
        <v>3.41029</v>
      </c>
    </row>
    <row r="413" spans="2:9">
      <c r="B413" t="s">
        <v>673</v>
      </c>
      <c r="C413" t="s">
        <v>833</v>
      </c>
      <c r="D413" t="s">
        <v>827</v>
      </c>
      <c r="E413" t="s">
        <v>830</v>
      </c>
      <c r="G413" s="26">
        <v>3.40326</v>
      </c>
      <c r="H413" s="27">
        <v>0</v>
      </c>
      <c r="I413" s="26">
        <v>3.40326</v>
      </c>
    </row>
    <row r="414" spans="2:9">
      <c r="B414" t="s">
        <v>367</v>
      </c>
      <c r="C414" t="s">
        <v>826</v>
      </c>
      <c r="D414" t="s">
        <v>827</v>
      </c>
      <c r="E414" t="s">
        <v>830</v>
      </c>
      <c r="G414" s="26">
        <v>3.343084</v>
      </c>
      <c r="H414" s="27">
        <v>0</v>
      </c>
      <c r="I414" s="26">
        <v>3.343084</v>
      </c>
    </row>
    <row r="415" spans="2:9">
      <c r="B415" t="s">
        <v>312</v>
      </c>
      <c r="C415" t="s">
        <v>826</v>
      </c>
      <c r="D415" t="s">
        <v>827</v>
      </c>
      <c r="E415" t="s">
        <v>830</v>
      </c>
      <c r="G415" s="26">
        <v>3.334696</v>
      </c>
      <c r="H415" s="27">
        <v>0</v>
      </c>
      <c r="I415" s="26">
        <v>3.334696</v>
      </c>
    </row>
    <row r="416" spans="2:9">
      <c r="B416" t="s">
        <v>728</v>
      </c>
      <c r="C416" t="s">
        <v>832</v>
      </c>
      <c r="D416" t="s">
        <v>827</v>
      </c>
      <c r="E416" t="s">
        <v>830</v>
      </c>
      <c r="G416" s="26">
        <v>3.326492</v>
      </c>
      <c r="H416" s="27">
        <v>0</v>
      </c>
      <c r="I416" s="26">
        <v>3.326492</v>
      </c>
    </row>
    <row r="417" spans="2:9">
      <c r="B417" t="s">
        <v>777</v>
      </c>
      <c r="C417" t="s">
        <v>826</v>
      </c>
      <c r="D417" t="s">
        <v>827</v>
      </c>
      <c r="E417" t="s">
        <v>830</v>
      </c>
      <c r="G417" s="26">
        <v>3.265728</v>
      </c>
      <c r="H417" s="27">
        <v>0</v>
      </c>
      <c r="I417" s="26">
        <v>3.265728</v>
      </c>
    </row>
    <row r="418" spans="2:9">
      <c r="B418" t="s">
        <v>11</v>
      </c>
      <c r="C418" t="s">
        <v>833</v>
      </c>
      <c r="D418" t="s">
        <v>827</v>
      </c>
      <c r="E418" t="s">
        <v>830</v>
      </c>
      <c r="G418" s="26">
        <v>3.888</v>
      </c>
      <c r="H418" s="26">
        <v>0.657</v>
      </c>
      <c r="I418" s="26">
        <v>3.231</v>
      </c>
    </row>
    <row r="419" spans="2:9">
      <c r="B419" t="s">
        <v>21</v>
      </c>
      <c r="C419" t="s">
        <v>826</v>
      </c>
      <c r="D419" t="s">
        <v>827</v>
      </c>
      <c r="E419" t="s">
        <v>830</v>
      </c>
      <c r="G419" s="26">
        <v>3.221548</v>
      </c>
      <c r="H419" s="27">
        <v>0</v>
      </c>
      <c r="I419" s="26">
        <v>3.221548</v>
      </c>
    </row>
    <row r="420" spans="2:9">
      <c r="B420" t="s">
        <v>147</v>
      </c>
      <c r="C420" t="s">
        <v>829</v>
      </c>
      <c r="D420" t="s">
        <v>827</v>
      </c>
      <c r="E420" t="s">
        <v>830</v>
      </c>
      <c r="G420" s="26">
        <v>3.200034</v>
      </c>
      <c r="H420" s="27">
        <v>0</v>
      </c>
      <c r="I420" s="26">
        <v>3.200034</v>
      </c>
    </row>
    <row r="421" spans="2:9">
      <c r="B421" t="s">
        <v>777</v>
      </c>
      <c r="C421" t="s">
        <v>829</v>
      </c>
      <c r="D421" t="s">
        <v>827</v>
      </c>
      <c r="E421" t="s">
        <v>830</v>
      </c>
      <c r="G421" s="26">
        <v>3.200022</v>
      </c>
      <c r="H421" s="27">
        <v>0</v>
      </c>
      <c r="I421" s="26">
        <v>3.200022</v>
      </c>
    </row>
    <row r="422" spans="2:9">
      <c r="B422" t="s">
        <v>571</v>
      </c>
      <c r="C422" t="s">
        <v>834</v>
      </c>
      <c r="D422" t="s">
        <v>827</v>
      </c>
      <c r="E422" t="s">
        <v>828</v>
      </c>
      <c r="F422" t="s">
        <v>572</v>
      </c>
      <c r="G422" s="26">
        <v>11.00808</v>
      </c>
      <c r="H422" s="26">
        <v>7.821069</v>
      </c>
      <c r="I422" s="26">
        <v>3.187011</v>
      </c>
    </row>
    <row r="423" spans="2:9">
      <c r="B423" t="s">
        <v>252</v>
      </c>
      <c r="C423" t="s">
        <v>834</v>
      </c>
      <c r="D423" t="s">
        <v>827</v>
      </c>
      <c r="E423" t="s">
        <v>830</v>
      </c>
      <c r="G423" s="26">
        <v>10.682616</v>
      </c>
      <c r="H423" s="26">
        <v>7.5</v>
      </c>
      <c r="I423" s="26">
        <v>3.182616</v>
      </c>
    </row>
    <row r="424" spans="2:9">
      <c r="B424" t="s">
        <v>595</v>
      </c>
      <c r="C424" t="s">
        <v>833</v>
      </c>
      <c r="D424" t="s">
        <v>827</v>
      </c>
      <c r="E424" t="s">
        <v>830</v>
      </c>
      <c r="G424" s="26">
        <v>7.728344</v>
      </c>
      <c r="H424" s="26">
        <v>4.574527</v>
      </c>
      <c r="I424" s="26">
        <v>3.153817</v>
      </c>
    </row>
    <row r="425" spans="2:9">
      <c r="B425" t="s">
        <v>309</v>
      </c>
      <c r="C425" t="s">
        <v>829</v>
      </c>
      <c r="D425" t="s">
        <v>827</v>
      </c>
      <c r="E425" t="s">
        <v>830</v>
      </c>
      <c r="G425" s="26">
        <v>3.118125</v>
      </c>
      <c r="H425" s="27">
        <v>0</v>
      </c>
      <c r="I425" s="26">
        <v>3.118125</v>
      </c>
    </row>
    <row r="426" spans="2:9">
      <c r="B426" t="s">
        <v>104</v>
      </c>
      <c r="C426" t="s">
        <v>834</v>
      </c>
      <c r="D426" t="s">
        <v>827</v>
      </c>
      <c r="E426" t="s">
        <v>830</v>
      </c>
      <c r="G426" s="26">
        <v>3.1059</v>
      </c>
      <c r="H426" s="27">
        <v>0</v>
      </c>
      <c r="I426" s="26">
        <v>3.1059</v>
      </c>
    </row>
    <row r="427" spans="2:9">
      <c r="B427" t="s">
        <v>803</v>
      </c>
      <c r="C427" t="s">
        <v>834</v>
      </c>
      <c r="D427" t="s">
        <v>827</v>
      </c>
      <c r="E427" t="s">
        <v>828</v>
      </c>
      <c r="F427" t="s">
        <v>804</v>
      </c>
      <c r="G427" s="26">
        <v>7.26408</v>
      </c>
      <c r="H427" s="26">
        <v>4.186935</v>
      </c>
      <c r="I427" s="26">
        <v>3.077145</v>
      </c>
    </row>
    <row r="428" spans="2:9">
      <c r="B428" t="s">
        <v>277</v>
      </c>
      <c r="C428" t="s">
        <v>829</v>
      </c>
      <c r="D428" t="s">
        <v>827</v>
      </c>
      <c r="E428" t="s">
        <v>830</v>
      </c>
      <c r="G428" s="26">
        <v>43.402869</v>
      </c>
      <c r="H428" s="26">
        <v>40.377086</v>
      </c>
      <c r="I428" s="26">
        <v>3.025783</v>
      </c>
    </row>
    <row r="429" spans="2:9">
      <c r="B429" t="s">
        <v>693</v>
      </c>
      <c r="C429" t="s">
        <v>834</v>
      </c>
      <c r="D429" t="s">
        <v>827</v>
      </c>
      <c r="E429" t="s">
        <v>830</v>
      </c>
      <c r="G429" s="26">
        <v>3.005975</v>
      </c>
      <c r="H429" s="27">
        <v>0</v>
      </c>
      <c r="I429" s="26">
        <v>3.005975</v>
      </c>
    </row>
    <row r="430" spans="2:9">
      <c r="B430" t="s">
        <v>706</v>
      </c>
      <c r="C430" t="s">
        <v>829</v>
      </c>
      <c r="D430" t="s">
        <v>827</v>
      </c>
      <c r="E430" t="s">
        <v>830</v>
      </c>
      <c r="G430" s="26">
        <v>3.0057</v>
      </c>
      <c r="H430" s="27">
        <v>0</v>
      </c>
      <c r="I430" s="26">
        <v>3.0057</v>
      </c>
    </row>
    <row r="431" spans="2:9">
      <c r="B431" t="s">
        <v>229</v>
      </c>
      <c r="C431" t="s">
        <v>829</v>
      </c>
      <c r="D431" t="s">
        <v>827</v>
      </c>
      <c r="E431" t="s">
        <v>830</v>
      </c>
      <c r="G431" s="27">
        <v>2.996846</v>
      </c>
      <c r="H431" s="27">
        <v>0</v>
      </c>
      <c r="I431" s="27">
        <v>2.996846</v>
      </c>
    </row>
    <row r="432" spans="2:9">
      <c r="B432" t="s">
        <v>621</v>
      </c>
      <c r="C432" t="s">
        <v>833</v>
      </c>
      <c r="D432" t="s">
        <v>827</v>
      </c>
      <c r="E432" t="s">
        <v>830</v>
      </c>
      <c r="G432" s="26">
        <v>2.916</v>
      </c>
      <c r="H432" s="27">
        <v>0</v>
      </c>
      <c r="I432" s="26">
        <v>2.916</v>
      </c>
    </row>
    <row r="433" spans="2:9">
      <c r="B433" t="s">
        <v>772</v>
      </c>
      <c r="C433" t="s">
        <v>834</v>
      </c>
      <c r="D433" t="s">
        <v>827</v>
      </c>
      <c r="E433" t="s">
        <v>830</v>
      </c>
      <c r="G433" s="26">
        <v>3.196973</v>
      </c>
      <c r="H433" s="26">
        <v>0.283755</v>
      </c>
      <c r="I433" s="26">
        <v>2.913218</v>
      </c>
    </row>
    <row r="434" spans="2:9">
      <c r="B434" t="s">
        <v>480</v>
      </c>
      <c r="C434" t="s">
        <v>834</v>
      </c>
      <c r="D434" t="s">
        <v>827</v>
      </c>
      <c r="E434" t="s">
        <v>830</v>
      </c>
      <c r="G434" s="26">
        <v>2.88288</v>
      </c>
      <c r="H434" s="27">
        <v>0</v>
      </c>
      <c r="I434" s="26">
        <v>2.88288</v>
      </c>
    </row>
    <row r="435" spans="2:9">
      <c r="B435" t="s">
        <v>59</v>
      </c>
      <c r="C435" t="s">
        <v>833</v>
      </c>
      <c r="D435" t="s">
        <v>827</v>
      </c>
      <c r="E435" t="s">
        <v>830</v>
      </c>
      <c r="G435" s="26">
        <v>2.916</v>
      </c>
      <c r="H435" s="26">
        <v>0.046575</v>
      </c>
      <c r="I435" s="26">
        <v>2.869425</v>
      </c>
    </row>
    <row r="436" spans="2:9">
      <c r="B436" t="s">
        <v>574</v>
      </c>
      <c r="C436" t="s">
        <v>833</v>
      </c>
      <c r="D436" t="s">
        <v>827</v>
      </c>
      <c r="E436" t="s">
        <v>830</v>
      </c>
      <c r="G436" s="26">
        <v>2.867868</v>
      </c>
      <c r="H436" s="27">
        <v>0</v>
      </c>
      <c r="I436" s="26">
        <v>2.867868</v>
      </c>
    </row>
    <row r="437" spans="2:9">
      <c r="B437" t="s">
        <v>607</v>
      </c>
      <c r="C437" t="s">
        <v>834</v>
      </c>
      <c r="D437" t="s">
        <v>827</v>
      </c>
      <c r="E437" t="s">
        <v>830</v>
      </c>
      <c r="G437" s="26">
        <v>2.84328</v>
      </c>
      <c r="H437" s="27">
        <v>0</v>
      </c>
      <c r="I437" s="26">
        <v>2.84328</v>
      </c>
    </row>
    <row r="438" spans="2:9">
      <c r="B438" t="s">
        <v>161</v>
      </c>
      <c r="C438" t="s">
        <v>826</v>
      </c>
      <c r="D438" t="s">
        <v>827</v>
      </c>
      <c r="E438" t="s">
        <v>830</v>
      </c>
      <c r="G438" s="26">
        <v>2.836076</v>
      </c>
      <c r="H438" s="27">
        <v>0</v>
      </c>
      <c r="I438" s="26">
        <v>2.836076</v>
      </c>
    </row>
    <row r="439" spans="2:9">
      <c r="B439" t="s">
        <v>700</v>
      </c>
      <c r="C439" t="s">
        <v>834</v>
      </c>
      <c r="D439" t="s">
        <v>827</v>
      </c>
      <c r="E439" t="s">
        <v>830</v>
      </c>
      <c r="G439" s="26">
        <v>2.83392</v>
      </c>
      <c r="H439" s="27">
        <v>0</v>
      </c>
      <c r="I439" s="26">
        <v>2.83392</v>
      </c>
    </row>
    <row r="440" spans="2:9">
      <c r="B440" t="s">
        <v>27</v>
      </c>
      <c r="C440" t="s">
        <v>833</v>
      </c>
      <c r="D440" t="s">
        <v>827</v>
      </c>
      <c r="E440" t="s">
        <v>830</v>
      </c>
      <c r="G440" s="26">
        <v>2.7216</v>
      </c>
      <c r="H440" s="27">
        <v>0</v>
      </c>
      <c r="I440" s="26">
        <v>2.7216</v>
      </c>
    </row>
    <row r="441" spans="2:9">
      <c r="B441" t="s">
        <v>613</v>
      </c>
      <c r="C441" t="s">
        <v>833</v>
      </c>
      <c r="D441" t="s">
        <v>827</v>
      </c>
      <c r="E441" t="s">
        <v>830</v>
      </c>
      <c r="G441" s="26">
        <v>2.7216</v>
      </c>
      <c r="H441" s="27">
        <v>0</v>
      </c>
      <c r="I441" s="26">
        <v>2.7216</v>
      </c>
    </row>
    <row r="442" spans="2:9">
      <c r="B442" t="s">
        <v>284</v>
      </c>
      <c r="C442" t="s">
        <v>826</v>
      </c>
      <c r="D442" t="s">
        <v>827</v>
      </c>
      <c r="E442" t="s">
        <v>830</v>
      </c>
      <c r="G442" s="26">
        <v>2.685092</v>
      </c>
      <c r="H442" s="27">
        <v>0</v>
      </c>
      <c r="I442" s="26">
        <v>2.685092</v>
      </c>
    </row>
    <row r="443" spans="2:9">
      <c r="B443" t="s">
        <v>326</v>
      </c>
      <c r="C443" t="s">
        <v>834</v>
      </c>
      <c r="D443" t="s">
        <v>827</v>
      </c>
      <c r="E443" t="s">
        <v>830</v>
      </c>
      <c r="G443" s="26">
        <v>10.166578</v>
      </c>
      <c r="H443" s="26">
        <v>7.5</v>
      </c>
      <c r="I443" s="26">
        <v>2.666578</v>
      </c>
    </row>
    <row r="444" spans="2:9">
      <c r="B444" t="s">
        <v>184</v>
      </c>
      <c r="C444" t="s">
        <v>826</v>
      </c>
      <c r="D444" t="s">
        <v>827</v>
      </c>
      <c r="E444" t="s">
        <v>830</v>
      </c>
      <c r="G444" s="26">
        <v>2.662258</v>
      </c>
      <c r="H444" s="27">
        <v>0</v>
      </c>
      <c r="I444" s="26">
        <v>2.662258</v>
      </c>
    </row>
    <row r="445" spans="2:9">
      <c r="B445" t="s">
        <v>599</v>
      </c>
      <c r="C445" t="s">
        <v>834</v>
      </c>
      <c r="D445" t="s">
        <v>827</v>
      </c>
      <c r="E445" t="s">
        <v>830</v>
      </c>
      <c r="G445" s="26">
        <v>2.6604</v>
      </c>
      <c r="H445" s="27">
        <v>0</v>
      </c>
      <c r="I445" s="26">
        <v>2.6604</v>
      </c>
    </row>
    <row r="446" spans="2:9">
      <c r="B446" t="s">
        <v>679</v>
      </c>
      <c r="C446" t="s">
        <v>834</v>
      </c>
      <c r="D446" t="s">
        <v>827</v>
      </c>
      <c r="E446" t="s">
        <v>830</v>
      </c>
      <c r="G446" s="26">
        <v>2.636953</v>
      </c>
      <c r="H446" s="27">
        <v>0</v>
      </c>
      <c r="I446" s="26">
        <v>2.636953</v>
      </c>
    </row>
    <row r="447" spans="2:9">
      <c r="B447" t="s">
        <v>584</v>
      </c>
      <c r="C447" t="s">
        <v>833</v>
      </c>
      <c r="D447" t="s">
        <v>827</v>
      </c>
      <c r="E447" t="s">
        <v>830</v>
      </c>
      <c r="G447" s="26">
        <v>2.60497</v>
      </c>
      <c r="H447" s="27">
        <v>0</v>
      </c>
      <c r="I447" s="26">
        <v>2.60497</v>
      </c>
    </row>
    <row r="448" spans="2:9">
      <c r="B448" t="s">
        <v>509</v>
      </c>
      <c r="C448" t="s">
        <v>833</v>
      </c>
      <c r="D448" t="s">
        <v>827</v>
      </c>
      <c r="E448" t="s">
        <v>830</v>
      </c>
      <c r="G448" s="26">
        <v>7.822308</v>
      </c>
      <c r="H448" s="26">
        <v>5.222753</v>
      </c>
      <c r="I448" s="26">
        <v>2.599555</v>
      </c>
    </row>
    <row r="449" spans="2:9">
      <c r="B449" t="s">
        <v>255</v>
      </c>
      <c r="C449" t="s">
        <v>829</v>
      </c>
      <c r="D449" t="s">
        <v>827</v>
      </c>
      <c r="E449" t="s">
        <v>830</v>
      </c>
      <c r="G449" s="26">
        <v>2.519914</v>
      </c>
      <c r="H449" s="27">
        <v>0</v>
      </c>
      <c r="I449" s="26">
        <v>2.519914</v>
      </c>
    </row>
    <row r="450" spans="2:9">
      <c r="B450" t="s">
        <v>470</v>
      </c>
      <c r="C450" t="s">
        <v>834</v>
      </c>
      <c r="D450" t="s">
        <v>827</v>
      </c>
      <c r="E450" t="s">
        <v>830</v>
      </c>
      <c r="G450" s="26">
        <v>2.4912</v>
      </c>
      <c r="H450" s="27">
        <v>0</v>
      </c>
      <c r="I450" s="26">
        <v>2.4912</v>
      </c>
    </row>
    <row r="451" spans="2:9">
      <c r="B451" t="s">
        <v>549</v>
      </c>
      <c r="C451" t="s">
        <v>834</v>
      </c>
      <c r="D451" t="s">
        <v>827</v>
      </c>
      <c r="E451" t="s">
        <v>830</v>
      </c>
      <c r="G451" s="26">
        <v>2.48256</v>
      </c>
      <c r="H451" s="27">
        <v>0</v>
      </c>
      <c r="I451" s="26">
        <v>2.48256</v>
      </c>
    </row>
    <row r="452" spans="2:9">
      <c r="B452" t="s">
        <v>16</v>
      </c>
      <c r="C452" t="s">
        <v>834</v>
      </c>
      <c r="D452" t="s">
        <v>827</v>
      </c>
      <c r="E452" t="s">
        <v>830</v>
      </c>
      <c r="G452" s="26">
        <v>2.481024</v>
      </c>
      <c r="H452" s="27">
        <v>0</v>
      </c>
      <c r="I452" s="26">
        <v>2.481024</v>
      </c>
    </row>
    <row r="453" spans="2:9">
      <c r="B453" t="s">
        <v>585</v>
      </c>
      <c r="C453" t="s">
        <v>829</v>
      </c>
      <c r="D453" t="s">
        <v>827</v>
      </c>
      <c r="E453" t="s">
        <v>830</v>
      </c>
      <c r="G453" s="26">
        <v>16.735522</v>
      </c>
      <c r="H453" s="26">
        <v>14.260759</v>
      </c>
      <c r="I453" s="26">
        <v>2.474763</v>
      </c>
    </row>
    <row r="454" spans="2:9">
      <c r="B454" t="s">
        <v>78</v>
      </c>
      <c r="C454" t="s">
        <v>833</v>
      </c>
      <c r="D454" t="s">
        <v>827</v>
      </c>
      <c r="E454" t="s">
        <v>830</v>
      </c>
      <c r="G454" s="26">
        <v>2.44647</v>
      </c>
      <c r="H454" s="27">
        <v>0</v>
      </c>
      <c r="I454" s="26">
        <v>2.44647</v>
      </c>
    </row>
    <row r="455" spans="2:9">
      <c r="B455" t="s">
        <v>327</v>
      </c>
      <c r="C455" t="s">
        <v>829</v>
      </c>
      <c r="D455" t="s">
        <v>827</v>
      </c>
      <c r="E455" t="s">
        <v>830</v>
      </c>
      <c r="G455" s="26">
        <v>2.3533</v>
      </c>
      <c r="H455" s="27">
        <v>0</v>
      </c>
      <c r="I455" s="26">
        <v>2.3533</v>
      </c>
    </row>
    <row r="456" spans="2:9">
      <c r="B456" t="s">
        <v>488</v>
      </c>
      <c r="C456" t="s">
        <v>833</v>
      </c>
      <c r="D456" t="s">
        <v>827</v>
      </c>
      <c r="E456" t="s">
        <v>830</v>
      </c>
      <c r="G456" s="26">
        <v>2.60105</v>
      </c>
      <c r="H456" s="26">
        <v>0.274244</v>
      </c>
      <c r="I456" s="26">
        <v>2.326806</v>
      </c>
    </row>
    <row r="457" spans="2:9">
      <c r="B457" t="s">
        <v>705</v>
      </c>
      <c r="C457" t="s">
        <v>829</v>
      </c>
      <c r="D457" t="s">
        <v>827</v>
      </c>
      <c r="E457" t="s">
        <v>830</v>
      </c>
      <c r="G457" s="26">
        <v>2.219558</v>
      </c>
      <c r="H457" s="27">
        <v>0</v>
      </c>
      <c r="I457" s="26">
        <v>2.219558</v>
      </c>
    </row>
    <row r="458" spans="2:9">
      <c r="B458" t="s">
        <v>667</v>
      </c>
      <c r="C458" t="s">
        <v>834</v>
      </c>
      <c r="D458" t="s">
        <v>827</v>
      </c>
      <c r="E458" t="s">
        <v>830</v>
      </c>
      <c r="G458" s="26">
        <v>2.19672</v>
      </c>
      <c r="H458" s="27">
        <v>0</v>
      </c>
      <c r="I458" s="26">
        <v>2.19672</v>
      </c>
    </row>
    <row r="459" spans="2:9">
      <c r="B459" t="s">
        <v>141</v>
      </c>
      <c r="C459" t="s">
        <v>829</v>
      </c>
      <c r="D459" t="s">
        <v>827</v>
      </c>
      <c r="E459" t="s">
        <v>830</v>
      </c>
      <c r="G459" s="26">
        <v>2.174356</v>
      </c>
      <c r="H459" s="27">
        <v>0</v>
      </c>
      <c r="I459" s="26">
        <v>2.174356</v>
      </c>
    </row>
    <row r="460" spans="2:9">
      <c r="B460" t="s">
        <v>89</v>
      </c>
      <c r="C460" t="s">
        <v>832</v>
      </c>
      <c r="D460" t="s">
        <v>827</v>
      </c>
      <c r="E460" t="s">
        <v>830</v>
      </c>
      <c r="G460" s="26">
        <v>2.2032</v>
      </c>
      <c r="H460" s="26">
        <v>0.07038</v>
      </c>
      <c r="I460" s="26">
        <v>2.13282</v>
      </c>
    </row>
    <row r="461" spans="2:9">
      <c r="B461" t="s">
        <v>258</v>
      </c>
      <c r="C461" t="s">
        <v>826</v>
      </c>
      <c r="D461" t="s">
        <v>827</v>
      </c>
      <c r="E461" t="s">
        <v>830</v>
      </c>
      <c r="G461" s="26">
        <v>2.12496</v>
      </c>
      <c r="H461" s="27">
        <v>0</v>
      </c>
      <c r="I461" s="26">
        <v>2.12496</v>
      </c>
    </row>
    <row r="462" spans="2:9">
      <c r="B462" t="s">
        <v>319</v>
      </c>
      <c r="C462" t="s">
        <v>834</v>
      </c>
      <c r="D462" t="s">
        <v>827</v>
      </c>
      <c r="E462" t="s">
        <v>830</v>
      </c>
      <c r="G462" s="26">
        <v>9.621163</v>
      </c>
      <c r="H462" s="26">
        <v>7.5</v>
      </c>
      <c r="I462" s="26">
        <v>2.121163</v>
      </c>
    </row>
    <row r="463" spans="2:9">
      <c r="B463" t="s">
        <v>271</v>
      </c>
      <c r="C463" t="s">
        <v>829</v>
      </c>
      <c r="D463" t="s">
        <v>827</v>
      </c>
      <c r="E463" t="s">
        <v>828</v>
      </c>
      <c r="F463" t="s">
        <v>272</v>
      </c>
      <c r="G463" s="26">
        <v>2.1203</v>
      </c>
      <c r="H463" s="27">
        <v>0</v>
      </c>
      <c r="I463" s="26">
        <v>2.1203</v>
      </c>
    </row>
    <row r="464" spans="2:9">
      <c r="B464" t="s">
        <v>164</v>
      </c>
      <c r="C464" t="s">
        <v>834</v>
      </c>
      <c r="D464" t="s">
        <v>827</v>
      </c>
      <c r="E464" t="s">
        <v>830</v>
      </c>
      <c r="G464" s="26">
        <v>7.1892</v>
      </c>
      <c r="H464" s="26">
        <v>5.073645</v>
      </c>
      <c r="I464" s="26">
        <v>2.115555</v>
      </c>
    </row>
    <row r="465" spans="2:9">
      <c r="B465" t="s">
        <v>518</v>
      </c>
      <c r="C465" t="s">
        <v>834</v>
      </c>
      <c r="D465" t="s">
        <v>827</v>
      </c>
      <c r="E465" t="s">
        <v>830</v>
      </c>
      <c r="G465" s="26">
        <v>2.106</v>
      </c>
      <c r="H465" s="27">
        <v>0</v>
      </c>
      <c r="I465" s="26">
        <v>2.106</v>
      </c>
    </row>
    <row r="466" spans="2:9">
      <c r="B466" t="s">
        <v>137</v>
      </c>
      <c r="C466" t="s">
        <v>829</v>
      </c>
      <c r="D466" t="s">
        <v>827</v>
      </c>
      <c r="E466" t="s">
        <v>830</v>
      </c>
      <c r="G466" s="26">
        <v>2.104922</v>
      </c>
      <c r="H466" s="27">
        <v>0</v>
      </c>
      <c r="I466" s="26">
        <v>2.104922</v>
      </c>
    </row>
    <row r="467" spans="2:9">
      <c r="B467" t="s">
        <v>750</v>
      </c>
      <c r="C467" t="s">
        <v>833</v>
      </c>
      <c r="D467" t="s">
        <v>827</v>
      </c>
      <c r="E467" t="s">
        <v>830</v>
      </c>
      <c r="G467" s="26">
        <v>2.090812</v>
      </c>
      <c r="H467" s="27">
        <v>0</v>
      </c>
      <c r="I467" s="26">
        <v>2.090812</v>
      </c>
    </row>
    <row r="468" spans="2:9">
      <c r="B468" t="s">
        <v>155</v>
      </c>
      <c r="C468" t="s">
        <v>834</v>
      </c>
      <c r="D468" t="s">
        <v>827</v>
      </c>
      <c r="E468" t="s">
        <v>830</v>
      </c>
      <c r="G468" s="26">
        <v>15.444238</v>
      </c>
      <c r="H468" s="26">
        <v>13.417536</v>
      </c>
      <c r="I468" s="26">
        <v>2.026702</v>
      </c>
    </row>
    <row r="469" spans="2:9">
      <c r="B469" t="s">
        <v>299</v>
      </c>
      <c r="C469" t="s">
        <v>826</v>
      </c>
      <c r="D469" t="s">
        <v>827</v>
      </c>
      <c r="E469" t="s">
        <v>830</v>
      </c>
      <c r="G469" s="27">
        <v>1.999606</v>
      </c>
      <c r="H469" s="27">
        <v>0</v>
      </c>
      <c r="I469" s="27">
        <v>1.999606</v>
      </c>
    </row>
    <row r="470" spans="2:9">
      <c r="B470" t="s">
        <v>372</v>
      </c>
      <c r="C470" t="s">
        <v>826</v>
      </c>
      <c r="D470" t="s">
        <v>827</v>
      </c>
      <c r="E470" t="s">
        <v>830</v>
      </c>
      <c r="G470" s="26">
        <v>1.9805</v>
      </c>
      <c r="H470" s="27">
        <v>0</v>
      </c>
      <c r="I470" s="26">
        <v>1.9805</v>
      </c>
    </row>
    <row r="471" spans="2:9">
      <c r="B471" t="s">
        <v>548</v>
      </c>
      <c r="C471" t="s">
        <v>833</v>
      </c>
      <c r="D471" t="s">
        <v>827</v>
      </c>
      <c r="E471" t="s">
        <v>830</v>
      </c>
      <c r="G471" s="26">
        <v>1.944</v>
      </c>
      <c r="H471" s="27">
        <v>0</v>
      </c>
      <c r="I471" s="26">
        <v>1.944</v>
      </c>
    </row>
    <row r="472" spans="2:9">
      <c r="B472" t="s">
        <v>292</v>
      </c>
      <c r="C472" t="s">
        <v>829</v>
      </c>
      <c r="D472" t="s">
        <v>827</v>
      </c>
      <c r="E472" t="s">
        <v>830</v>
      </c>
      <c r="G472" s="26">
        <v>1.935298</v>
      </c>
      <c r="H472" s="27">
        <v>0</v>
      </c>
      <c r="I472" s="26">
        <v>1.935298</v>
      </c>
    </row>
    <row r="473" spans="2:9">
      <c r="B473" t="s">
        <v>339</v>
      </c>
      <c r="C473" t="s">
        <v>826</v>
      </c>
      <c r="D473" t="s">
        <v>827</v>
      </c>
      <c r="E473" t="s">
        <v>830</v>
      </c>
      <c r="G473" s="26">
        <v>1.916658</v>
      </c>
      <c r="H473" s="27">
        <v>0</v>
      </c>
      <c r="I473" s="26">
        <v>1.916658</v>
      </c>
    </row>
    <row r="474" spans="2:9">
      <c r="B474" t="s">
        <v>718</v>
      </c>
      <c r="C474" t="s">
        <v>834</v>
      </c>
      <c r="D474" t="s">
        <v>827</v>
      </c>
      <c r="E474" t="s">
        <v>830</v>
      </c>
      <c r="G474" s="26">
        <v>12.3336</v>
      </c>
      <c r="H474" s="26">
        <v>10.41857</v>
      </c>
      <c r="I474" s="26">
        <v>1.91503</v>
      </c>
    </row>
    <row r="475" spans="2:9">
      <c r="B475" t="s">
        <v>520</v>
      </c>
      <c r="C475" t="s">
        <v>834</v>
      </c>
      <c r="D475" t="s">
        <v>827</v>
      </c>
      <c r="E475" t="s">
        <v>830</v>
      </c>
      <c r="G475" s="26">
        <v>2.91096</v>
      </c>
      <c r="H475" s="26">
        <v>1.006707</v>
      </c>
      <c r="I475" s="26">
        <v>1.904253</v>
      </c>
    </row>
    <row r="476" spans="2:9">
      <c r="B476" t="s">
        <v>48</v>
      </c>
      <c r="C476" t="s">
        <v>829</v>
      </c>
      <c r="D476" t="s">
        <v>827</v>
      </c>
      <c r="E476" t="s">
        <v>830</v>
      </c>
      <c r="G476" s="26">
        <v>1.899478</v>
      </c>
      <c r="H476" s="27">
        <v>0</v>
      </c>
      <c r="I476" s="26">
        <v>1.899478</v>
      </c>
    </row>
    <row r="477" spans="2:9">
      <c r="B477" t="s">
        <v>240</v>
      </c>
      <c r="C477" t="s">
        <v>829</v>
      </c>
      <c r="D477" t="s">
        <v>827</v>
      </c>
      <c r="E477" t="s">
        <v>830</v>
      </c>
      <c r="G477" s="26">
        <v>1.890096</v>
      </c>
      <c r="H477" s="27">
        <v>0</v>
      </c>
      <c r="I477" s="26">
        <v>1.890096</v>
      </c>
    </row>
    <row r="478" spans="2:9">
      <c r="B478" t="s">
        <v>310</v>
      </c>
      <c r="C478" t="s">
        <v>834</v>
      </c>
      <c r="D478" t="s">
        <v>827</v>
      </c>
      <c r="E478" t="s">
        <v>830</v>
      </c>
      <c r="G478" s="26">
        <v>9.359827</v>
      </c>
      <c r="H478" s="26">
        <v>7.5</v>
      </c>
      <c r="I478" s="26">
        <v>1.859827</v>
      </c>
    </row>
    <row r="479" spans="2:9">
      <c r="B479" t="s">
        <v>657</v>
      </c>
      <c r="C479" t="s">
        <v>834</v>
      </c>
      <c r="D479" t="s">
        <v>827</v>
      </c>
      <c r="E479" t="s">
        <v>830</v>
      </c>
      <c r="G479" s="26">
        <v>7.45488</v>
      </c>
      <c r="H479" s="26">
        <v>5.611868</v>
      </c>
      <c r="I479" s="26">
        <v>1.843012</v>
      </c>
    </row>
    <row r="480" spans="2:9">
      <c r="B480" t="s">
        <v>815</v>
      </c>
      <c r="C480" t="s">
        <v>826</v>
      </c>
      <c r="D480" t="s">
        <v>827</v>
      </c>
      <c r="E480" t="s">
        <v>830</v>
      </c>
      <c r="G480" s="26">
        <v>1.83448</v>
      </c>
      <c r="H480" s="27">
        <v>0</v>
      </c>
      <c r="I480" s="26">
        <v>1.83448</v>
      </c>
    </row>
    <row r="481" spans="2:9">
      <c r="B481" t="s">
        <v>153</v>
      </c>
      <c r="C481" t="s">
        <v>834</v>
      </c>
      <c r="D481" t="s">
        <v>827</v>
      </c>
      <c r="E481" t="s">
        <v>830</v>
      </c>
      <c r="G481" s="26">
        <v>6.44688</v>
      </c>
      <c r="H481" s="26">
        <v>4.625766</v>
      </c>
      <c r="I481" s="26">
        <v>1.821114</v>
      </c>
    </row>
    <row r="482" spans="2:9">
      <c r="B482" t="s">
        <v>234</v>
      </c>
      <c r="C482" t="s">
        <v>834</v>
      </c>
      <c r="D482" t="s">
        <v>827</v>
      </c>
      <c r="E482" t="s">
        <v>830</v>
      </c>
      <c r="G482" s="26">
        <v>9.317455</v>
      </c>
      <c r="H482" s="26">
        <v>7.5</v>
      </c>
      <c r="I482" s="26">
        <v>1.817455</v>
      </c>
    </row>
    <row r="483" spans="2:9">
      <c r="B483" t="s">
        <v>761</v>
      </c>
      <c r="C483" t="s">
        <v>826</v>
      </c>
      <c r="D483" t="s">
        <v>827</v>
      </c>
      <c r="E483" t="s">
        <v>830</v>
      </c>
      <c r="G483" s="26">
        <v>1.81041</v>
      </c>
      <c r="H483" s="27">
        <v>0</v>
      </c>
      <c r="I483" s="26">
        <v>1.81041</v>
      </c>
    </row>
    <row r="484" spans="2:9">
      <c r="B484" t="s">
        <v>12</v>
      </c>
      <c r="C484" t="s">
        <v>834</v>
      </c>
      <c r="D484" t="s">
        <v>827</v>
      </c>
      <c r="E484" t="s">
        <v>830</v>
      </c>
      <c r="G484" s="26">
        <v>9.263848</v>
      </c>
      <c r="H484" s="26">
        <v>7.5</v>
      </c>
      <c r="I484" s="26">
        <v>1.763848</v>
      </c>
    </row>
    <row r="485" spans="2:9">
      <c r="B485" t="s">
        <v>475</v>
      </c>
      <c r="C485" t="s">
        <v>833</v>
      </c>
      <c r="D485" t="s">
        <v>827</v>
      </c>
      <c r="E485" t="s">
        <v>828</v>
      </c>
      <c r="F485" t="s">
        <v>476</v>
      </c>
      <c r="G485" s="26">
        <v>1.7496</v>
      </c>
      <c r="H485" s="27">
        <v>0</v>
      </c>
      <c r="I485" s="26">
        <v>1.7496</v>
      </c>
    </row>
    <row r="486" spans="2:9">
      <c r="B486" t="s">
        <v>729</v>
      </c>
      <c r="C486" t="s">
        <v>834</v>
      </c>
      <c r="D486" t="s">
        <v>827</v>
      </c>
      <c r="E486" t="s">
        <v>828</v>
      </c>
      <c r="F486" t="s">
        <v>720</v>
      </c>
      <c r="G486" s="26">
        <v>7.4196</v>
      </c>
      <c r="H486" s="26">
        <v>5.70897</v>
      </c>
      <c r="I486" s="26">
        <v>1.71063</v>
      </c>
    </row>
    <row r="487" spans="2:9">
      <c r="B487" t="s">
        <v>691</v>
      </c>
      <c r="C487" t="s">
        <v>834</v>
      </c>
      <c r="D487" t="s">
        <v>827</v>
      </c>
      <c r="E487" t="s">
        <v>830</v>
      </c>
      <c r="G487" s="26">
        <v>5.53608</v>
      </c>
      <c r="H487" s="26">
        <v>3.906012</v>
      </c>
      <c r="I487" s="26">
        <v>1.630068</v>
      </c>
    </row>
    <row r="488" spans="2:9">
      <c r="B488" t="s">
        <v>96</v>
      </c>
      <c r="C488" t="s">
        <v>829</v>
      </c>
      <c r="D488" t="s">
        <v>827</v>
      </c>
      <c r="E488" t="s">
        <v>830</v>
      </c>
      <c r="G488" s="26">
        <v>1.628496</v>
      </c>
      <c r="H488" s="27">
        <v>0</v>
      </c>
      <c r="I488" s="26">
        <v>1.628496</v>
      </c>
    </row>
    <row r="489" spans="2:9">
      <c r="B489" t="s">
        <v>818</v>
      </c>
      <c r="C489" t="s">
        <v>832</v>
      </c>
      <c r="D489" t="s">
        <v>827</v>
      </c>
      <c r="E489" t="s">
        <v>830</v>
      </c>
      <c r="G489" s="26">
        <v>1.615136</v>
      </c>
      <c r="H489" s="27">
        <v>0</v>
      </c>
      <c r="I489" s="26">
        <v>1.615136</v>
      </c>
    </row>
    <row r="490" spans="2:9">
      <c r="B490" t="s">
        <v>498</v>
      </c>
      <c r="C490" t="s">
        <v>833</v>
      </c>
      <c r="D490" t="s">
        <v>827</v>
      </c>
      <c r="E490" t="s">
        <v>830</v>
      </c>
      <c r="G490" s="26">
        <v>15.60845</v>
      </c>
      <c r="H490" s="27">
        <v>14</v>
      </c>
      <c r="I490" s="26">
        <v>1.60845</v>
      </c>
    </row>
    <row r="491" spans="2:9">
      <c r="B491" t="s">
        <v>172</v>
      </c>
      <c r="C491" t="s">
        <v>826</v>
      </c>
      <c r="D491" t="s">
        <v>827</v>
      </c>
      <c r="E491" t="s">
        <v>828</v>
      </c>
      <c r="F491" t="s">
        <v>173</v>
      </c>
      <c r="G491" s="26">
        <v>280.947519</v>
      </c>
      <c r="H491" s="26">
        <v>279.343197</v>
      </c>
      <c r="I491" s="26">
        <v>1.604322</v>
      </c>
    </row>
    <row r="492" spans="2:9">
      <c r="B492" t="s">
        <v>328</v>
      </c>
      <c r="C492" t="s">
        <v>826</v>
      </c>
      <c r="D492" t="s">
        <v>827</v>
      </c>
      <c r="E492" t="s">
        <v>830</v>
      </c>
      <c r="G492" s="26">
        <v>1.50984</v>
      </c>
      <c r="H492" s="27">
        <v>0</v>
      </c>
      <c r="I492" s="26">
        <v>1.50984</v>
      </c>
    </row>
    <row r="493" spans="2:9">
      <c r="B493" t="s">
        <v>499</v>
      </c>
      <c r="C493" t="s">
        <v>834</v>
      </c>
      <c r="D493" t="s">
        <v>827</v>
      </c>
      <c r="E493" t="s">
        <v>830</v>
      </c>
      <c r="G493" s="26">
        <v>4.22379</v>
      </c>
      <c r="H493" s="26">
        <v>2.752814</v>
      </c>
      <c r="I493" s="26">
        <v>1.470976</v>
      </c>
    </row>
    <row r="494" spans="2:9">
      <c r="B494" t="s">
        <v>497</v>
      </c>
      <c r="C494" t="s">
        <v>834</v>
      </c>
      <c r="D494" t="s">
        <v>827</v>
      </c>
      <c r="E494" t="s">
        <v>830</v>
      </c>
      <c r="G494" s="26">
        <v>1.46664</v>
      </c>
      <c r="H494" s="27">
        <v>0</v>
      </c>
      <c r="I494" s="26">
        <v>1.46664</v>
      </c>
    </row>
    <row r="495" spans="2:9">
      <c r="B495" t="s">
        <v>375</v>
      </c>
      <c r="C495" t="s">
        <v>829</v>
      </c>
      <c r="D495" t="s">
        <v>827</v>
      </c>
      <c r="E495" t="s">
        <v>830</v>
      </c>
      <c r="G495" s="26">
        <v>1.466036</v>
      </c>
      <c r="H495" s="27">
        <v>0</v>
      </c>
      <c r="I495" s="26">
        <v>1.466036</v>
      </c>
    </row>
    <row r="496" spans="2:9">
      <c r="B496" t="s">
        <v>76</v>
      </c>
      <c r="C496" t="s">
        <v>834</v>
      </c>
      <c r="D496" t="s">
        <v>827</v>
      </c>
      <c r="E496" t="s">
        <v>830</v>
      </c>
      <c r="G496" s="26">
        <v>8.953637</v>
      </c>
      <c r="H496" s="26">
        <v>7.5</v>
      </c>
      <c r="I496" s="26">
        <v>1.453637</v>
      </c>
    </row>
    <row r="497" spans="2:9">
      <c r="B497" t="s">
        <v>481</v>
      </c>
      <c r="C497" t="s">
        <v>826</v>
      </c>
      <c r="D497" t="s">
        <v>827</v>
      </c>
      <c r="E497" t="s">
        <v>828</v>
      </c>
      <c r="F497" t="s">
        <v>482</v>
      </c>
      <c r="G497" s="26">
        <v>1.413378</v>
      </c>
      <c r="H497" s="27">
        <v>0</v>
      </c>
      <c r="I497" s="26">
        <v>1.413378</v>
      </c>
    </row>
    <row r="498" spans="2:9">
      <c r="B498" t="s">
        <v>654</v>
      </c>
      <c r="C498" t="s">
        <v>834</v>
      </c>
      <c r="D498" t="s">
        <v>827</v>
      </c>
      <c r="E498" t="s">
        <v>830</v>
      </c>
      <c r="G498" s="26">
        <v>11.39662</v>
      </c>
      <c r="H498" s="26">
        <v>9.988216</v>
      </c>
      <c r="I498" s="26">
        <v>1.408404</v>
      </c>
    </row>
    <row r="499" spans="2:9">
      <c r="B499" t="s">
        <v>740</v>
      </c>
      <c r="C499" t="s">
        <v>832</v>
      </c>
      <c r="D499" t="s">
        <v>827</v>
      </c>
      <c r="E499" t="s">
        <v>830</v>
      </c>
      <c r="G499" s="26">
        <v>1.489268</v>
      </c>
      <c r="H499" s="26">
        <v>0.08976</v>
      </c>
      <c r="I499" s="26">
        <v>1.399508</v>
      </c>
    </row>
    <row r="500" spans="2:9">
      <c r="B500" t="s">
        <v>82</v>
      </c>
      <c r="C500" t="s">
        <v>826</v>
      </c>
      <c r="D500" t="s">
        <v>827</v>
      </c>
      <c r="E500" t="s">
        <v>830</v>
      </c>
      <c r="G500" s="26">
        <v>1.387282</v>
      </c>
      <c r="H500" s="27">
        <v>0</v>
      </c>
      <c r="I500" s="26">
        <v>1.387282</v>
      </c>
    </row>
    <row r="501" spans="2:9">
      <c r="B501" t="s">
        <v>505</v>
      </c>
      <c r="C501" t="s">
        <v>833</v>
      </c>
      <c r="D501" t="s">
        <v>827</v>
      </c>
      <c r="E501" t="s">
        <v>830</v>
      </c>
      <c r="G501" s="26">
        <v>1.3608</v>
      </c>
      <c r="H501" s="27">
        <v>0</v>
      </c>
      <c r="I501" s="26">
        <v>1.3608</v>
      </c>
    </row>
    <row r="502" spans="2:9">
      <c r="B502" t="s">
        <v>729</v>
      </c>
      <c r="C502" t="s">
        <v>832</v>
      </c>
      <c r="D502" t="s">
        <v>827</v>
      </c>
      <c r="E502" t="s">
        <v>828</v>
      </c>
      <c r="F502" t="s">
        <v>720</v>
      </c>
      <c r="G502" s="26">
        <v>5.8752</v>
      </c>
      <c r="H502" s="26">
        <v>4.52608</v>
      </c>
      <c r="I502" s="26">
        <v>1.34912</v>
      </c>
    </row>
    <row r="503" spans="2:9">
      <c r="B503" t="s">
        <v>366</v>
      </c>
      <c r="C503" t="s">
        <v>829</v>
      </c>
      <c r="D503" t="s">
        <v>827</v>
      </c>
      <c r="E503" t="s">
        <v>830</v>
      </c>
      <c r="G503" s="26">
        <v>1.343012</v>
      </c>
      <c r="H503" s="27">
        <v>0</v>
      </c>
      <c r="I503" s="26">
        <v>1.343012</v>
      </c>
    </row>
    <row r="504" spans="2:9">
      <c r="B504" t="s">
        <v>798</v>
      </c>
      <c r="C504" t="s">
        <v>833</v>
      </c>
      <c r="D504" t="s">
        <v>827</v>
      </c>
      <c r="E504" t="s">
        <v>830</v>
      </c>
      <c r="G504" s="26">
        <v>1.3608</v>
      </c>
      <c r="H504" s="26">
        <v>0.029925</v>
      </c>
      <c r="I504" s="26">
        <v>1.330875</v>
      </c>
    </row>
    <row r="505" spans="2:9">
      <c r="B505" t="s">
        <v>764</v>
      </c>
      <c r="C505" t="s">
        <v>834</v>
      </c>
      <c r="D505" t="s">
        <v>827</v>
      </c>
      <c r="E505" t="s">
        <v>830</v>
      </c>
      <c r="G505" s="26">
        <v>3.33216</v>
      </c>
      <c r="H505" s="26">
        <v>2.040948</v>
      </c>
      <c r="I505" s="26">
        <v>1.291212</v>
      </c>
    </row>
    <row r="506" spans="2:9">
      <c r="B506" t="s">
        <v>307</v>
      </c>
      <c r="C506" t="s">
        <v>829</v>
      </c>
      <c r="D506" t="s">
        <v>827</v>
      </c>
      <c r="E506" t="s">
        <v>830</v>
      </c>
      <c r="G506" s="26">
        <v>1.270782</v>
      </c>
      <c r="H506" s="27">
        <v>0</v>
      </c>
      <c r="I506" s="26">
        <v>1.270782</v>
      </c>
    </row>
    <row r="507" spans="2:9">
      <c r="B507" t="s">
        <v>227</v>
      </c>
      <c r="C507" t="s">
        <v>826</v>
      </c>
      <c r="D507" t="s">
        <v>827</v>
      </c>
      <c r="E507" t="s">
        <v>828</v>
      </c>
      <c r="F507" t="s">
        <v>228</v>
      </c>
      <c r="G507" s="26">
        <v>73.165348</v>
      </c>
      <c r="H507" s="26">
        <v>71.9114</v>
      </c>
      <c r="I507" s="26">
        <v>1.253948</v>
      </c>
    </row>
    <row r="508" spans="2:9">
      <c r="B508" t="s">
        <v>211</v>
      </c>
      <c r="C508" t="s">
        <v>834</v>
      </c>
      <c r="D508" t="s">
        <v>827</v>
      </c>
      <c r="E508" t="s">
        <v>830</v>
      </c>
      <c r="G508" s="26">
        <v>16.233134</v>
      </c>
      <c r="H508" s="27">
        <v>15</v>
      </c>
      <c r="I508" s="26">
        <v>1.233134</v>
      </c>
    </row>
    <row r="509" spans="2:9">
      <c r="B509" t="s">
        <v>703</v>
      </c>
      <c r="C509" t="s">
        <v>833</v>
      </c>
      <c r="D509" t="s">
        <v>827</v>
      </c>
      <c r="E509" t="s">
        <v>830</v>
      </c>
      <c r="G509" s="26">
        <v>1.22724</v>
      </c>
      <c r="H509" s="27">
        <v>0</v>
      </c>
      <c r="I509" s="26">
        <v>1.22724</v>
      </c>
    </row>
    <row r="510" spans="2:9">
      <c r="B510" t="s">
        <v>399</v>
      </c>
      <c r="C510" t="s">
        <v>829</v>
      </c>
      <c r="D510" t="s">
        <v>827</v>
      </c>
      <c r="E510" t="s">
        <v>830</v>
      </c>
      <c r="G510" s="26">
        <v>1.22682</v>
      </c>
      <c r="H510" s="27">
        <v>0</v>
      </c>
      <c r="I510" s="26">
        <v>1.22682</v>
      </c>
    </row>
    <row r="511" spans="2:9">
      <c r="B511" t="s">
        <v>94</v>
      </c>
      <c r="C511" t="s">
        <v>834</v>
      </c>
      <c r="D511" t="s">
        <v>827</v>
      </c>
      <c r="E511" t="s">
        <v>830</v>
      </c>
      <c r="G511" s="26">
        <v>8.48952</v>
      </c>
      <c r="H511" s="26">
        <v>7.313487</v>
      </c>
      <c r="I511" s="26">
        <v>1.176033</v>
      </c>
    </row>
    <row r="512" spans="2:9">
      <c r="B512" t="s">
        <v>749</v>
      </c>
      <c r="C512" t="s">
        <v>834</v>
      </c>
      <c r="D512" t="s">
        <v>827</v>
      </c>
      <c r="E512" t="s">
        <v>830</v>
      </c>
      <c r="G512" s="26">
        <v>1.1628</v>
      </c>
      <c r="H512" s="27">
        <v>0</v>
      </c>
      <c r="I512" s="26">
        <v>1.1628</v>
      </c>
    </row>
    <row r="513" spans="2:9">
      <c r="B513" t="s">
        <v>226</v>
      </c>
      <c r="C513" t="s">
        <v>826</v>
      </c>
      <c r="D513" t="s">
        <v>827</v>
      </c>
      <c r="E513" t="s">
        <v>830</v>
      </c>
      <c r="G513" s="26">
        <v>1.16034</v>
      </c>
      <c r="H513" s="27">
        <v>0</v>
      </c>
      <c r="I513" s="26">
        <v>1.16034</v>
      </c>
    </row>
    <row r="514" spans="2:9">
      <c r="B514" t="s">
        <v>662</v>
      </c>
      <c r="C514" t="s">
        <v>834</v>
      </c>
      <c r="D514" t="s">
        <v>827</v>
      </c>
      <c r="E514" t="s">
        <v>830</v>
      </c>
      <c r="G514" s="26">
        <v>8.637537</v>
      </c>
      <c r="H514" s="26">
        <v>7.5</v>
      </c>
      <c r="I514" s="26">
        <v>1.137537</v>
      </c>
    </row>
    <row r="515" spans="2:9">
      <c r="B515" t="s">
        <v>65</v>
      </c>
      <c r="C515" t="s">
        <v>834</v>
      </c>
      <c r="D515" t="s">
        <v>827</v>
      </c>
      <c r="E515" t="s">
        <v>830</v>
      </c>
      <c r="G515" s="26">
        <v>1.11168</v>
      </c>
      <c r="H515" s="27">
        <v>0</v>
      </c>
      <c r="I515" s="26">
        <v>1.11168</v>
      </c>
    </row>
    <row r="516" spans="2:9">
      <c r="B516" t="s">
        <v>690</v>
      </c>
      <c r="C516" t="s">
        <v>834</v>
      </c>
      <c r="D516" t="s">
        <v>827</v>
      </c>
      <c r="E516" t="s">
        <v>830</v>
      </c>
      <c r="G516" s="26">
        <v>1.10304</v>
      </c>
      <c r="H516" s="27">
        <v>0</v>
      </c>
      <c r="I516" s="26">
        <v>1.10304</v>
      </c>
    </row>
    <row r="517" spans="2:9">
      <c r="B517" t="s">
        <v>708</v>
      </c>
      <c r="C517" t="s">
        <v>834</v>
      </c>
      <c r="D517" t="s">
        <v>827</v>
      </c>
      <c r="E517" t="s">
        <v>830</v>
      </c>
      <c r="G517" s="26">
        <v>1.1016</v>
      </c>
      <c r="H517" s="27">
        <v>0</v>
      </c>
      <c r="I517" s="26">
        <v>1.1016</v>
      </c>
    </row>
    <row r="518" spans="2:9">
      <c r="B518" t="s">
        <v>434</v>
      </c>
      <c r="C518" t="s">
        <v>826</v>
      </c>
      <c r="D518" t="s">
        <v>827</v>
      </c>
      <c r="E518" t="s">
        <v>830</v>
      </c>
      <c r="G518" s="26">
        <v>1.09743</v>
      </c>
      <c r="H518" s="27">
        <v>0</v>
      </c>
      <c r="I518" s="26">
        <v>1.09743</v>
      </c>
    </row>
    <row r="519" spans="2:9">
      <c r="B519" t="s">
        <v>78</v>
      </c>
      <c r="C519" t="s">
        <v>834</v>
      </c>
      <c r="D519" t="s">
        <v>827</v>
      </c>
      <c r="E519" t="s">
        <v>830</v>
      </c>
      <c r="G519" s="26">
        <v>1.161717</v>
      </c>
      <c r="H519" s="26">
        <v>0.069616</v>
      </c>
      <c r="I519" s="26">
        <v>1.092101</v>
      </c>
    </row>
    <row r="520" spans="2:9">
      <c r="B520" t="s">
        <v>780</v>
      </c>
      <c r="C520" t="s">
        <v>829</v>
      </c>
      <c r="D520" t="s">
        <v>827</v>
      </c>
      <c r="E520" t="s">
        <v>830</v>
      </c>
      <c r="G520" s="26">
        <v>1.08828</v>
      </c>
      <c r="H520" s="27">
        <v>0</v>
      </c>
      <c r="I520" s="26">
        <v>1.08828</v>
      </c>
    </row>
    <row r="521" spans="2:9">
      <c r="B521" t="s">
        <v>519</v>
      </c>
      <c r="C521" t="s">
        <v>834</v>
      </c>
      <c r="D521" t="s">
        <v>827</v>
      </c>
      <c r="E521" t="s">
        <v>830</v>
      </c>
      <c r="G521" s="26">
        <v>1.08648</v>
      </c>
      <c r="H521" s="27">
        <v>0</v>
      </c>
      <c r="I521" s="26">
        <v>1.08648</v>
      </c>
    </row>
    <row r="522" spans="2:9">
      <c r="B522" t="s">
        <v>203</v>
      </c>
      <c r="C522" t="s">
        <v>826</v>
      </c>
      <c r="D522" t="s">
        <v>827</v>
      </c>
      <c r="E522" t="s">
        <v>830</v>
      </c>
      <c r="G522" s="26">
        <v>1.08578</v>
      </c>
      <c r="H522" s="27">
        <v>0</v>
      </c>
      <c r="I522" s="26">
        <v>1.08578</v>
      </c>
    </row>
    <row r="523" spans="2:9">
      <c r="B523" t="s">
        <v>721</v>
      </c>
      <c r="C523" t="s">
        <v>834</v>
      </c>
      <c r="D523" t="s">
        <v>827</v>
      </c>
      <c r="E523" t="s">
        <v>830</v>
      </c>
      <c r="G523" s="26">
        <v>6.8796</v>
      </c>
      <c r="H523" s="26">
        <v>5.799885</v>
      </c>
      <c r="I523" s="26">
        <v>1.079715</v>
      </c>
    </row>
    <row r="524" spans="2:9">
      <c r="B524" t="s">
        <v>809</v>
      </c>
      <c r="C524" t="s">
        <v>834</v>
      </c>
      <c r="D524" t="s">
        <v>827</v>
      </c>
      <c r="E524" t="s">
        <v>830</v>
      </c>
      <c r="G524" s="26">
        <v>1.02735</v>
      </c>
      <c r="H524" s="27">
        <v>0</v>
      </c>
      <c r="I524" s="26">
        <v>1.02735</v>
      </c>
    </row>
    <row r="525" spans="2:9">
      <c r="B525" t="s">
        <v>301</v>
      </c>
      <c r="C525" t="s">
        <v>829</v>
      </c>
      <c r="D525" t="s">
        <v>827</v>
      </c>
      <c r="E525" t="s">
        <v>830</v>
      </c>
      <c r="G525" s="26">
        <v>1.015114</v>
      </c>
      <c r="H525" s="27">
        <v>0</v>
      </c>
      <c r="I525" s="26">
        <v>1.015114</v>
      </c>
    </row>
    <row r="526" spans="2:9">
      <c r="B526" t="s">
        <v>443</v>
      </c>
      <c r="C526" t="s">
        <v>829</v>
      </c>
      <c r="D526" t="s">
        <v>827</v>
      </c>
      <c r="E526" t="s">
        <v>830</v>
      </c>
      <c r="G526" s="26">
        <v>1.010072</v>
      </c>
      <c r="H526" s="27">
        <v>0</v>
      </c>
      <c r="I526" s="26">
        <v>1.010072</v>
      </c>
    </row>
    <row r="527" spans="2:9">
      <c r="B527" t="s">
        <v>537</v>
      </c>
      <c r="C527" t="s">
        <v>826</v>
      </c>
      <c r="D527" t="s">
        <v>827</v>
      </c>
      <c r="E527" t="s">
        <v>830</v>
      </c>
      <c r="G527" s="27">
        <v>0.998174</v>
      </c>
      <c r="H527" s="27">
        <v>0</v>
      </c>
      <c r="I527" s="27">
        <v>0.998174</v>
      </c>
    </row>
    <row r="528" spans="2:9">
      <c r="B528" t="s">
        <v>408</v>
      </c>
      <c r="C528" t="s">
        <v>829</v>
      </c>
      <c r="D528" t="s">
        <v>827</v>
      </c>
      <c r="E528" t="s">
        <v>830</v>
      </c>
      <c r="G528" s="27">
        <v>0.99724</v>
      </c>
      <c r="H528" s="27">
        <v>0</v>
      </c>
      <c r="I528" s="27">
        <v>0.99724</v>
      </c>
    </row>
    <row r="529" spans="2:9">
      <c r="B529" t="s">
        <v>483</v>
      </c>
      <c r="C529" t="s">
        <v>833</v>
      </c>
      <c r="D529" t="s">
        <v>827</v>
      </c>
      <c r="E529" t="s">
        <v>830</v>
      </c>
      <c r="G529" s="26">
        <v>0.972</v>
      </c>
      <c r="H529" s="27">
        <v>0</v>
      </c>
      <c r="I529" s="26">
        <v>0.972</v>
      </c>
    </row>
    <row r="530" spans="2:9">
      <c r="B530" t="s">
        <v>70</v>
      </c>
      <c r="C530" t="s">
        <v>834</v>
      </c>
      <c r="D530" t="s">
        <v>827</v>
      </c>
      <c r="E530" t="s">
        <v>830</v>
      </c>
      <c r="G530" s="26">
        <v>0.95616</v>
      </c>
      <c r="H530" s="27">
        <v>0</v>
      </c>
      <c r="I530" s="26">
        <v>0.95616</v>
      </c>
    </row>
    <row r="531" spans="2:9">
      <c r="B531" t="s">
        <v>727</v>
      </c>
      <c r="C531" t="s">
        <v>829</v>
      </c>
      <c r="D531" t="s">
        <v>827</v>
      </c>
      <c r="E531" t="s">
        <v>830</v>
      </c>
      <c r="G531" s="26">
        <v>182.729239</v>
      </c>
      <c r="H531" s="26">
        <v>181.833921</v>
      </c>
      <c r="I531" s="26">
        <v>0.895318</v>
      </c>
    </row>
    <row r="532" spans="2:9">
      <c r="B532" t="s">
        <v>451</v>
      </c>
      <c r="C532" t="s">
        <v>826</v>
      </c>
      <c r="D532" t="s">
        <v>827</v>
      </c>
      <c r="E532" t="s">
        <v>830</v>
      </c>
      <c r="G532" s="26">
        <v>0.888196</v>
      </c>
      <c r="H532" s="27">
        <v>0</v>
      </c>
      <c r="I532" s="26">
        <v>0.888196</v>
      </c>
    </row>
    <row r="533" spans="2:9">
      <c r="B533" t="s">
        <v>707</v>
      </c>
      <c r="C533" t="s">
        <v>833</v>
      </c>
      <c r="D533" t="s">
        <v>827</v>
      </c>
      <c r="E533" t="s">
        <v>830</v>
      </c>
      <c r="G533" s="26">
        <v>5.78448</v>
      </c>
      <c r="H533" s="26">
        <v>4.904961</v>
      </c>
      <c r="I533" s="26">
        <v>0.879519</v>
      </c>
    </row>
    <row r="534" spans="2:9">
      <c r="B534" t="s">
        <v>640</v>
      </c>
      <c r="C534" t="s">
        <v>834</v>
      </c>
      <c r="D534" t="s">
        <v>827</v>
      </c>
      <c r="E534" t="s">
        <v>830</v>
      </c>
      <c r="G534" s="26">
        <v>0.871055</v>
      </c>
      <c r="H534" s="27">
        <v>0</v>
      </c>
      <c r="I534" s="26">
        <v>0.871055</v>
      </c>
    </row>
    <row r="535" spans="2:9">
      <c r="B535" t="s">
        <v>381</v>
      </c>
      <c r="C535" t="s">
        <v>829</v>
      </c>
      <c r="D535" t="s">
        <v>827</v>
      </c>
      <c r="E535" t="s">
        <v>830</v>
      </c>
      <c r="G535" s="26">
        <v>0.865828</v>
      </c>
      <c r="H535" s="27">
        <v>0</v>
      </c>
      <c r="I535" s="26">
        <v>0.865828</v>
      </c>
    </row>
    <row r="536" spans="2:9">
      <c r="B536" t="s">
        <v>314</v>
      </c>
      <c r="C536" t="s">
        <v>826</v>
      </c>
      <c r="D536" t="s">
        <v>827</v>
      </c>
      <c r="E536" t="s">
        <v>830</v>
      </c>
      <c r="G536" s="26">
        <v>0.857906</v>
      </c>
      <c r="H536" s="27">
        <v>0</v>
      </c>
      <c r="I536" s="26">
        <v>0.857906</v>
      </c>
    </row>
    <row r="537" spans="2:9">
      <c r="B537" t="s">
        <v>725</v>
      </c>
      <c r="C537" t="s">
        <v>829</v>
      </c>
      <c r="D537" t="s">
        <v>827</v>
      </c>
      <c r="E537" t="s">
        <v>830</v>
      </c>
      <c r="G537" s="26">
        <v>0.831344</v>
      </c>
      <c r="H537" s="27">
        <v>0</v>
      </c>
      <c r="I537" s="26">
        <v>0.831344</v>
      </c>
    </row>
    <row r="538" spans="2:9">
      <c r="B538" t="s">
        <v>637</v>
      </c>
      <c r="C538" t="s">
        <v>834</v>
      </c>
      <c r="D538" t="s">
        <v>827</v>
      </c>
      <c r="E538" t="s">
        <v>830</v>
      </c>
      <c r="G538" s="26">
        <v>0.80712</v>
      </c>
      <c r="H538" s="27">
        <v>0</v>
      </c>
      <c r="I538" s="26">
        <v>0.80712</v>
      </c>
    </row>
    <row r="539" spans="2:9">
      <c r="B539" t="s">
        <v>699</v>
      </c>
      <c r="C539" t="s">
        <v>833</v>
      </c>
      <c r="D539" t="s">
        <v>827</v>
      </c>
      <c r="E539" t="s">
        <v>830</v>
      </c>
      <c r="G539" s="26">
        <v>4.229144</v>
      </c>
      <c r="H539" s="26">
        <v>3.427287</v>
      </c>
      <c r="I539" s="26">
        <v>0.801857</v>
      </c>
    </row>
    <row r="540" spans="2:9">
      <c r="B540" t="s">
        <v>735</v>
      </c>
      <c r="C540" t="s">
        <v>833</v>
      </c>
      <c r="D540" t="s">
        <v>827</v>
      </c>
      <c r="E540" t="s">
        <v>830</v>
      </c>
      <c r="G540" s="26">
        <v>1.507544</v>
      </c>
      <c r="H540" s="26">
        <v>0.71402</v>
      </c>
      <c r="I540" s="26">
        <v>0.793524</v>
      </c>
    </row>
    <row r="541" spans="2:9">
      <c r="B541" t="s">
        <v>592</v>
      </c>
      <c r="C541" t="s">
        <v>833</v>
      </c>
      <c r="D541" t="s">
        <v>827</v>
      </c>
      <c r="E541" t="s">
        <v>830</v>
      </c>
      <c r="G541" s="26">
        <v>0.7776</v>
      </c>
      <c r="H541" s="27">
        <v>0</v>
      </c>
      <c r="I541" s="26">
        <v>0.7776</v>
      </c>
    </row>
    <row r="542" spans="2:9">
      <c r="B542" t="s">
        <v>684</v>
      </c>
      <c r="C542" t="s">
        <v>833</v>
      </c>
      <c r="D542" t="s">
        <v>827</v>
      </c>
      <c r="E542" t="s">
        <v>830</v>
      </c>
      <c r="G542" s="26">
        <v>0.7776</v>
      </c>
      <c r="H542" s="27">
        <v>0</v>
      </c>
      <c r="I542" s="26">
        <v>0.7776</v>
      </c>
    </row>
    <row r="543" spans="2:9">
      <c r="B543" t="s">
        <v>726</v>
      </c>
      <c r="C543" t="s">
        <v>826</v>
      </c>
      <c r="D543" t="s">
        <v>827</v>
      </c>
      <c r="E543" t="s">
        <v>830</v>
      </c>
      <c r="G543" s="26">
        <v>0.7456</v>
      </c>
      <c r="H543" s="27">
        <v>0</v>
      </c>
      <c r="I543" s="26">
        <v>0.7456</v>
      </c>
    </row>
    <row r="544" spans="2:9">
      <c r="B544" t="s">
        <v>226</v>
      </c>
      <c r="C544" t="s">
        <v>829</v>
      </c>
      <c r="D544" t="s">
        <v>827</v>
      </c>
      <c r="E544" t="s">
        <v>830</v>
      </c>
      <c r="G544" s="26">
        <v>0.721834</v>
      </c>
      <c r="H544" s="27">
        <v>0</v>
      </c>
      <c r="I544" s="26">
        <v>0.721834</v>
      </c>
    </row>
    <row r="545" spans="2:9">
      <c r="B545" t="s">
        <v>742</v>
      </c>
      <c r="C545" t="s">
        <v>833</v>
      </c>
      <c r="D545" t="s">
        <v>827</v>
      </c>
      <c r="E545" t="s">
        <v>830</v>
      </c>
      <c r="G545" s="26">
        <v>0.924378</v>
      </c>
      <c r="H545" s="26">
        <v>0.203694</v>
      </c>
      <c r="I545" s="26">
        <v>0.720684</v>
      </c>
    </row>
    <row r="546" spans="2:9">
      <c r="B546" t="s">
        <v>711</v>
      </c>
      <c r="C546" t="s">
        <v>829</v>
      </c>
      <c r="D546" t="s">
        <v>827</v>
      </c>
      <c r="E546" t="s">
        <v>830</v>
      </c>
      <c r="G546" s="26">
        <v>0.709268</v>
      </c>
      <c r="H546" s="27">
        <v>0</v>
      </c>
      <c r="I546" s="26">
        <v>0.709268</v>
      </c>
    </row>
    <row r="547" spans="2:9">
      <c r="B547" t="s">
        <v>597</v>
      </c>
      <c r="C547" t="s">
        <v>829</v>
      </c>
      <c r="D547" t="s">
        <v>827</v>
      </c>
      <c r="E547" t="s">
        <v>830</v>
      </c>
      <c r="G547" s="26">
        <v>0.708786</v>
      </c>
      <c r="H547" s="27">
        <v>0</v>
      </c>
      <c r="I547" s="26">
        <v>0.708786</v>
      </c>
    </row>
    <row r="548" spans="2:9">
      <c r="B548" t="s">
        <v>324</v>
      </c>
      <c r="C548" t="s">
        <v>826</v>
      </c>
      <c r="D548" t="s">
        <v>827</v>
      </c>
      <c r="E548" t="s">
        <v>830</v>
      </c>
      <c r="G548" s="26">
        <v>0.695272</v>
      </c>
      <c r="H548" s="27">
        <v>0</v>
      </c>
      <c r="I548" s="26">
        <v>0.695272</v>
      </c>
    </row>
    <row r="549" spans="2:9">
      <c r="B549" t="s">
        <v>38</v>
      </c>
      <c r="C549" t="s">
        <v>829</v>
      </c>
      <c r="D549" t="s">
        <v>827</v>
      </c>
      <c r="E549" t="s">
        <v>830</v>
      </c>
      <c r="G549" s="26">
        <v>0.636556</v>
      </c>
      <c r="H549" s="27">
        <v>0</v>
      </c>
      <c r="I549" s="26">
        <v>0.636556</v>
      </c>
    </row>
    <row r="550" spans="2:9">
      <c r="B550" t="s">
        <v>454</v>
      </c>
      <c r="C550" t="s">
        <v>829</v>
      </c>
      <c r="D550" t="s">
        <v>827</v>
      </c>
      <c r="E550" t="s">
        <v>830</v>
      </c>
      <c r="G550" s="26">
        <v>0.61341</v>
      </c>
      <c r="H550" s="27">
        <v>0</v>
      </c>
      <c r="I550" s="26">
        <v>0.61341</v>
      </c>
    </row>
    <row r="551" spans="2:9">
      <c r="B551" t="s">
        <v>374</v>
      </c>
      <c r="C551" t="s">
        <v>829</v>
      </c>
      <c r="D551" t="s">
        <v>827</v>
      </c>
      <c r="E551" t="s">
        <v>830</v>
      </c>
      <c r="G551" s="26">
        <v>0.600674</v>
      </c>
      <c r="H551" s="27">
        <v>0</v>
      </c>
      <c r="I551" s="26">
        <v>0.600674</v>
      </c>
    </row>
    <row r="552" spans="2:9">
      <c r="B552" t="s">
        <v>339</v>
      </c>
      <c r="C552" t="s">
        <v>829</v>
      </c>
      <c r="D552" t="s">
        <v>827</v>
      </c>
      <c r="E552" t="s">
        <v>830</v>
      </c>
      <c r="G552" s="26">
        <v>0.592508</v>
      </c>
      <c r="H552" s="27">
        <v>0</v>
      </c>
      <c r="I552" s="26">
        <v>0.592508</v>
      </c>
    </row>
    <row r="553" spans="2:9">
      <c r="B553" t="s">
        <v>293</v>
      </c>
      <c r="C553" t="s">
        <v>829</v>
      </c>
      <c r="D553" t="s">
        <v>827</v>
      </c>
      <c r="E553" t="s">
        <v>830</v>
      </c>
      <c r="G553" s="26">
        <v>10.588321</v>
      </c>
      <c r="H553" s="27">
        <v>10</v>
      </c>
      <c r="I553" s="26">
        <v>0.588321</v>
      </c>
    </row>
    <row r="554" spans="2:9">
      <c r="B554" t="s">
        <v>673</v>
      </c>
      <c r="C554" t="s">
        <v>834</v>
      </c>
      <c r="D554" t="s">
        <v>827</v>
      </c>
      <c r="E554" t="s">
        <v>830</v>
      </c>
      <c r="G554" s="26">
        <v>0.587543</v>
      </c>
      <c r="H554" s="27">
        <v>0</v>
      </c>
      <c r="I554" s="26">
        <v>0.587543</v>
      </c>
    </row>
    <row r="555" spans="2:9">
      <c r="B555" t="s">
        <v>599</v>
      </c>
      <c r="C555" t="s">
        <v>833</v>
      </c>
      <c r="D555" t="s">
        <v>827</v>
      </c>
      <c r="E555" t="s">
        <v>830</v>
      </c>
      <c r="G555" s="26">
        <v>0.5832</v>
      </c>
      <c r="H555" s="27">
        <v>0</v>
      </c>
      <c r="I555" s="26">
        <v>0.5832</v>
      </c>
    </row>
    <row r="556" spans="2:9">
      <c r="B556" t="s">
        <v>51</v>
      </c>
      <c r="C556" t="s">
        <v>833</v>
      </c>
      <c r="D556" t="s">
        <v>827</v>
      </c>
      <c r="E556" t="s">
        <v>830</v>
      </c>
      <c r="G556" s="26">
        <v>0.5832</v>
      </c>
      <c r="H556" s="27">
        <v>0</v>
      </c>
      <c r="I556" s="26">
        <v>0.5832</v>
      </c>
    </row>
    <row r="557" spans="2:9">
      <c r="B557" t="s">
        <v>778</v>
      </c>
      <c r="C557" t="s">
        <v>833</v>
      </c>
      <c r="D557" t="s">
        <v>827</v>
      </c>
      <c r="E557" t="s">
        <v>830</v>
      </c>
      <c r="G557" s="26">
        <v>0.5832</v>
      </c>
      <c r="H557" s="27">
        <v>0</v>
      </c>
      <c r="I557" s="26">
        <v>0.5832</v>
      </c>
    </row>
    <row r="558" spans="2:9">
      <c r="B558" t="s">
        <v>167</v>
      </c>
      <c r="C558" t="s">
        <v>834</v>
      </c>
      <c r="D558" t="s">
        <v>827</v>
      </c>
      <c r="E558" t="s">
        <v>830</v>
      </c>
      <c r="G558" s="26">
        <v>6.26472</v>
      </c>
      <c r="H558" s="26">
        <v>5.685842</v>
      </c>
      <c r="I558" s="26">
        <v>0.578878</v>
      </c>
    </row>
    <row r="559" spans="2:9">
      <c r="B559" t="s">
        <v>800</v>
      </c>
      <c r="C559" t="s">
        <v>833</v>
      </c>
      <c r="D559" t="s">
        <v>827</v>
      </c>
      <c r="E559" t="s">
        <v>830</v>
      </c>
      <c r="G559" s="26">
        <v>0.5832</v>
      </c>
      <c r="H559" s="26">
        <v>0.00567</v>
      </c>
      <c r="I559" s="26">
        <v>0.57753</v>
      </c>
    </row>
    <row r="560" spans="2:9">
      <c r="B560" t="s">
        <v>686</v>
      </c>
      <c r="C560" t="s">
        <v>833</v>
      </c>
      <c r="D560" t="s">
        <v>827</v>
      </c>
      <c r="E560" t="s">
        <v>830</v>
      </c>
      <c r="G560" s="26">
        <v>0.5832</v>
      </c>
      <c r="H560" s="26">
        <v>0.009315</v>
      </c>
      <c r="I560" s="26">
        <v>0.573885</v>
      </c>
    </row>
    <row r="561" spans="2:9">
      <c r="B561" t="s">
        <v>41</v>
      </c>
      <c r="C561" t="s">
        <v>834</v>
      </c>
      <c r="D561" t="s">
        <v>827</v>
      </c>
      <c r="E561" t="s">
        <v>830</v>
      </c>
      <c r="G561" s="26">
        <v>0.564102</v>
      </c>
      <c r="H561" s="27">
        <v>0</v>
      </c>
      <c r="I561" s="26">
        <v>0.564102</v>
      </c>
    </row>
    <row r="562" spans="2:9">
      <c r="B562" t="s">
        <v>484</v>
      </c>
      <c r="C562" t="s">
        <v>834</v>
      </c>
      <c r="D562" t="s">
        <v>827</v>
      </c>
      <c r="E562" t="s">
        <v>830</v>
      </c>
      <c r="G562" s="26">
        <v>9.97272</v>
      </c>
      <c r="H562" s="26">
        <v>9.408877</v>
      </c>
      <c r="I562" s="26">
        <v>0.563843</v>
      </c>
    </row>
    <row r="563" spans="2:9">
      <c r="B563" t="s">
        <v>69</v>
      </c>
      <c r="C563" t="s">
        <v>834</v>
      </c>
      <c r="D563" t="s">
        <v>827</v>
      </c>
      <c r="E563" t="s">
        <v>830</v>
      </c>
      <c r="G563" s="26">
        <v>0.55263</v>
      </c>
      <c r="H563" s="27">
        <v>0.00218</v>
      </c>
      <c r="I563" s="26">
        <v>0.55045</v>
      </c>
    </row>
    <row r="564" spans="2:9">
      <c r="B564" t="s">
        <v>817</v>
      </c>
      <c r="C564" t="s">
        <v>826</v>
      </c>
      <c r="D564" t="s">
        <v>827</v>
      </c>
      <c r="E564" t="s">
        <v>830</v>
      </c>
      <c r="G564" s="26">
        <v>0.548482</v>
      </c>
      <c r="H564" s="27">
        <v>0</v>
      </c>
      <c r="I564" s="26">
        <v>0.548482</v>
      </c>
    </row>
    <row r="565" spans="2:9">
      <c r="B565" t="s">
        <v>737</v>
      </c>
      <c r="C565" t="s">
        <v>826</v>
      </c>
      <c r="D565" t="s">
        <v>827</v>
      </c>
      <c r="E565" t="s">
        <v>830</v>
      </c>
      <c r="G565" s="26">
        <v>0.53124</v>
      </c>
      <c r="H565" s="27">
        <v>0</v>
      </c>
      <c r="I565" s="26">
        <v>0.53124</v>
      </c>
    </row>
    <row r="566" spans="2:9">
      <c r="B566" t="s">
        <v>500</v>
      </c>
      <c r="C566" t="s">
        <v>834</v>
      </c>
      <c r="D566" t="s">
        <v>827</v>
      </c>
      <c r="E566" t="s">
        <v>830</v>
      </c>
      <c r="G566" s="26">
        <v>0.51768</v>
      </c>
      <c r="H566" s="27">
        <v>0</v>
      </c>
      <c r="I566" s="26">
        <v>0.51768</v>
      </c>
    </row>
    <row r="567" spans="2:9">
      <c r="B567" t="s">
        <v>221</v>
      </c>
      <c r="C567" t="s">
        <v>834</v>
      </c>
      <c r="D567" t="s">
        <v>827</v>
      </c>
      <c r="E567" t="s">
        <v>830</v>
      </c>
      <c r="G567" s="26">
        <v>8.008157</v>
      </c>
      <c r="H567" s="26">
        <v>7.5</v>
      </c>
      <c r="I567" s="26">
        <v>0.508157</v>
      </c>
    </row>
    <row r="568" spans="2:9">
      <c r="B568" t="s">
        <v>277</v>
      </c>
      <c r="C568" t="s">
        <v>831</v>
      </c>
      <c r="D568" t="s">
        <v>827</v>
      </c>
      <c r="E568" t="s">
        <v>830</v>
      </c>
      <c r="G568" s="26">
        <v>0.49968</v>
      </c>
      <c r="H568" s="27">
        <v>0</v>
      </c>
      <c r="I568" s="26">
        <v>0.49968</v>
      </c>
    </row>
    <row r="569" spans="2:9">
      <c r="B569" t="s">
        <v>117</v>
      </c>
      <c r="C569" t="s">
        <v>826</v>
      </c>
      <c r="D569" t="s">
        <v>827</v>
      </c>
      <c r="E569" t="s">
        <v>830</v>
      </c>
      <c r="G569" s="26">
        <v>0.492096</v>
      </c>
      <c r="H569" s="27">
        <v>0</v>
      </c>
      <c r="I569" s="26">
        <v>0.492096</v>
      </c>
    </row>
    <row r="570" spans="2:9">
      <c r="B570" t="s">
        <v>412</v>
      </c>
      <c r="C570" t="s">
        <v>829</v>
      </c>
      <c r="D570" t="s">
        <v>827</v>
      </c>
      <c r="E570" t="s">
        <v>830</v>
      </c>
      <c r="G570" s="26">
        <v>0.488061</v>
      </c>
      <c r="H570" s="27">
        <v>0</v>
      </c>
      <c r="I570" s="26">
        <v>0.488061</v>
      </c>
    </row>
    <row r="571" spans="2:9">
      <c r="B571" t="s">
        <v>534</v>
      </c>
      <c r="C571" t="s">
        <v>834</v>
      </c>
      <c r="D571" t="s">
        <v>827</v>
      </c>
      <c r="E571" t="s">
        <v>830</v>
      </c>
      <c r="G571" s="26">
        <v>0.48312</v>
      </c>
      <c r="H571" s="27">
        <v>0</v>
      </c>
      <c r="I571" s="26">
        <v>0.48312</v>
      </c>
    </row>
    <row r="572" spans="2:9">
      <c r="B572" t="s">
        <v>254</v>
      </c>
      <c r="C572" t="s">
        <v>834</v>
      </c>
      <c r="D572" t="s">
        <v>827</v>
      </c>
      <c r="E572" t="s">
        <v>830</v>
      </c>
      <c r="G572" s="26">
        <v>7.973406</v>
      </c>
      <c r="H572" s="26">
        <v>7.5</v>
      </c>
      <c r="I572" s="26">
        <v>0.473406</v>
      </c>
    </row>
    <row r="573" spans="2:9">
      <c r="B573" t="s">
        <v>745</v>
      </c>
      <c r="C573" t="s">
        <v>833</v>
      </c>
      <c r="D573" t="s">
        <v>827</v>
      </c>
      <c r="E573" t="s">
        <v>830</v>
      </c>
      <c r="G573" s="26">
        <v>27.27661</v>
      </c>
      <c r="H573" s="26">
        <v>26.814194</v>
      </c>
      <c r="I573" s="26">
        <v>0.462416</v>
      </c>
    </row>
    <row r="574" spans="2:9">
      <c r="B574" t="s">
        <v>300</v>
      </c>
      <c r="C574" t="s">
        <v>829</v>
      </c>
      <c r="D574" t="s">
        <v>827</v>
      </c>
      <c r="E574" t="s">
        <v>830</v>
      </c>
      <c r="G574" s="26">
        <v>0.45901</v>
      </c>
      <c r="H574" s="27">
        <v>0</v>
      </c>
      <c r="I574" s="26">
        <v>0.45901</v>
      </c>
    </row>
    <row r="575" spans="2:9">
      <c r="B575" t="s">
        <v>43</v>
      </c>
      <c r="C575" t="s">
        <v>833</v>
      </c>
      <c r="D575" t="s">
        <v>827</v>
      </c>
      <c r="E575" t="s">
        <v>828</v>
      </c>
      <c r="F575" t="s">
        <v>44</v>
      </c>
      <c r="G575" s="26">
        <v>2.1384</v>
      </c>
      <c r="H575" s="26">
        <v>1.681695</v>
      </c>
      <c r="I575" s="26">
        <v>0.456705</v>
      </c>
    </row>
    <row r="576" spans="2:9">
      <c r="B576" t="s">
        <v>388</v>
      </c>
      <c r="C576" t="s">
        <v>829</v>
      </c>
      <c r="D576" t="s">
        <v>827</v>
      </c>
      <c r="E576" t="s">
        <v>828</v>
      </c>
      <c r="F576" t="s">
        <v>389</v>
      </c>
      <c r="G576" s="26">
        <v>2411.046232</v>
      </c>
      <c r="H576" s="26">
        <v>2410.603186</v>
      </c>
      <c r="I576" s="26">
        <v>0.443046</v>
      </c>
    </row>
    <row r="577" spans="2:9">
      <c r="B577" t="s">
        <v>745</v>
      </c>
      <c r="C577" t="s">
        <v>834</v>
      </c>
      <c r="D577" t="s">
        <v>827</v>
      </c>
      <c r="E577" t="s">
        <v>830</v>
      </c>
      <c r="G577" s="26">
        <v>22.761444</v>
      </c>
      <c r="H577" s="26">
        <v>22.318912</v>
      </c>
      <c r="I577" s="26">
        <v>0.442532</v>
      </c>
    </row>
    <row r="578" spans="2:9">
      <c r="B578" t="s">
        <v>48</v>
      </c>
      <c r="C578" t="s">
        <v>826</v>
      </c>
      <c r="D578" t="s">
        <v>827</v>
      </c>
      <c r="E578" t="s">
        <v>830</v>
      </c>
      <c r="G578" s="26">
        <v>0.427788</v>
      </c>
      <c r="H578" s="27">
        <v>0</v>
      </c>
      <c r="I578" s="26">
        <v>0.427788</v>
      </c>
    </row>
    <row r="579" spans="2:9">
      <c r="B579" t="s">
        <v>544</v>
      </c>
      <c r="C579" t="s">
        <v>833</v>
      </c>
      <c r="D579" t="s">
        <v>827</v>
      </c>
      <c r="E579" t="s">
        <v>830</v>
      </c>
      <c r="G579" s="26">
        <v>2.094165</v>
      </c>
      <c r="H579" s="26">
        <v>1.6803</v>
      </c>
      <c r="I579" s="26">
        <v>0.413865</v>
      </c>
    </row>
    <row r="580" spans="2:9">
      <c r="B580" t="s">
        <v>50</v>
      </c>
      <c r="C580" t="s">
        <v>833</v>
      </c>
      <c r="D580" t="s">
        <v>827</v>
      </c>
      <c r="E580" t="s">
        <v>830</v>
      </c>
      <c r="G580" s="26">
        <v>0.42363</v>
      </c>
      <c r="H580" s="26">
        <v>0.013365</v>
      </c>
      <c r="I580" s="26">
        <v>0.410265</v>
      </c>
    </row>
    <row r="581" spans="2:9">
      <c r="B581" t="s">
        <v>813</v>
      </c>
      <c r="C581" t="s">
        <v>826</v>
      </c>
      <c r="D581" t="s">
        <v>827</v>
      </c>
      <c r="E581" t="s">
        <v>830</v>
      </c>
      <c r="G581" s="26">
        <v>0.390816</v>
      </c>
      <c r="H581" s="27">
        <v>0</v>
      </c>
      <c r="I581" s="26">
        <v>0.390816</v>
      </c>
    </row>
    <row r="582" spans="2:9">
      <c r="B582" t="s">
        <v>700</v>
      </c>
      <c r="C582" t="s">
        <v>833</v>
      </c>
      <c r="D582" t="s">
        <v>827</v>
      </c>
      <c r="E582" t="s">
        <v>830</v>
      </c>
      <c r="G582" s="26">
        <v>0.3888</v>
      </c>
      <c r="H582" s="27">
        <v>0</v>
      </c>
      <c r="I582" s="26">
        <v>0.3888</v>
      </c>
    </row>
    <row r="583" spans="2:9">
      <c r="B583" t="s">
        <v>724</v>
      </c>
      <c r="C583" t="s">
        <v>833</v>
      </c>
      <c r="D583" t="s">
        <v>827</v>
      </c>
      <c r="E583" t="s">
        <v>830</v>
      </c>
      <c r="G583" s="26">
        <v>0.3888</v>
      </c>
      <c r="H583" s="27">
        <v>0</v>
      </c>
      <c r="I583" s="26">
        <v>0.3888</v>
      </c>
    </row>
    <row r="584" spans="2:9">
      <c r="B584" t="s">
        <v>464</v>
      </c>
      <c r="C584" t="s">
        <v>833</v>
      </c>
      <c r="D584" t="s">
        <v>827</v>
      </c>
      <c r="E584" t="s">
        <v>830</v>
      </c>
      <c r="G584" s="26">
        <v>0.3888</v>
      </c>
      <c r="H584" s="27">
        <v>0</v>
      </c>
      <c r="I584" s="26">
        <v>0.3888</v>
      </c>
    </row>
    <row r="585" spans="2:9">
      <c r="B585" t="s">
        <v>550</v>
      </c>
      <c r="C585" t="s">
        <v>833</v>
      </c>
      <c r="D585" t="s">
        <v>827</v>
      </c>
      <c r="E585" t="s">
        <v>830</v>
      </c>
      <c r="G585" s="26">
        <v>0.3888</v>
      </c>
      <c r="H585" s="27">
        <v>0</v>
      </c>
      <c r="I585" s="26">
        <v>0.3888</v>
      </c>
    </row>
    <row r="586" spans="2:9">
      <c r="B586" t="s">
        <v>522</v>
      </c>
      <c r="C586" t="s">
        <v>833</v>
      </c>
      <c r="D586" t="s">
        <v>827</v>
      </c>
      <c r="E586" t="s">
        <v>830</v>
      </c>
      <c r="G586" s="26">
        <v>0.3888</v>
      </c>
      <c r="H586" s="27">
        <v>0</v>
      </c>
      <c r="I586" s="26">
        <v>0.3888</v>
      </c>
    </row>
    <row r="587" spans="2:9">
      <c r="B587" t="s">
        <v>347</v>
      </c>
      <c r="C587" t="s">
        <v>826</v>
      </c>
      <c r="D587" t="s">
        <v>827</v>
      </c>
      <c r="E587" t="s">
        <v>830</v>
      </c>
      <c r="G587" s="26">
        <v>0.382586</v>
      </c>
      <c r="H587" s="27">
        <v>0</v>
      </c>
      <c r="I587" s="26">
        <v>0.382586</v>
      </c>
    </row>
    <row r="588" spans="2:9">
      <c r="B588" t="s">
        <v>813</v>
      </c>
      <c r="C588" t="s">
        <v>829</v>
      </c>
      <c r="D588" t="s">
        <v>827</v>
      </c>
      <c r="E588" t="s">
        <v>830</v>
      </c>
      <c r="G588" s="26">
        <v>0.37476</v>
      </c>
      <c r="H588" s="27">
        <v>0</v>
      </c>
      <c r="I588" s="26">
        <v>0.37476</v>
      </c>
    </row>
    <row r="589" spans="2:9">
      <c r="B589" t="s">
        <v>391</v>
      </c>
      <c r="C589" t="s">
        <v>829</v>
      </c>
      <c r="D589" t="s">
        <v>827</v>
      </c>
      <c r="E589" t="s">
        <v>830</v>
      </c>
      <c r="G589" s="26">
        <v>0.363946</v>
      </c>
      <c r="H589" s="27">
        <v>0</v>
      </c>
      <c r="I589" s="26">
        <v>0.363946</v>
      </c>
    </row>
    <row r="590" spans="2:9">
      <c r="B590" t="s">
        <v>524</v>
      </c>
      <c r="C590" t="s">
        <v>834</v>
      </c>
      <c r="D590" t="s">
        <v>827</v>
      </c>
      <c r="E590" t="s">
        <v>830</v>
      </c>
      <c r="G590" s="26">
        <v>0.35568</v>
      </c>
      <c r="H590" s="27">
        <v>0</v>
      </c>
      <c r="I590" s="26">
        <v>0.35568</v>
      </c>
    </row>
    <row r="591" spans="2:9">
      <c r="B591" t="s">
        <v>355</v>
      </c>
      <c r="C591" t="s">
        <v>826</v>
      </c>
      <c r="D591" t="s">
        <v>827</v>
      </c>
      <c r="E591" t="s">
        <v>830</v>
      </c>
      <c r="G591" s="26">
        <v>0.352296</v>
      </c>
      <c r="H591" s="27">
        <v>0</v>
      </c>
      <c r="I591" s="26">
        <v>0.352296</v>
      </c>
    </row>
    <row r="592" spans="2:9">
      <c r="B592" t="s">
        <v>499</v>
      </c>
      <c r="C592" t="s">
        <v>833</v>
      </c>
      <c r="D592" t="s">
        <v>827</v>
      </c>
      <c r="E592" t="s">
        <v>830</v>
      </c>
      <c r="G592" s="26">
        <v>3.162734</v>
      </c>
      <c r="H592" s="26">
        <v>2.81245</v>
      </c>
      <c r="I592" s="26">
        <v>0.350284</v>
      </c>
    </row>
    <row r="593" spans="2:9">
      <c r="B593" t="s">
        <v>733</v>
      </c>
      <c r="C593" t="s">
        <v>833</v>
      </c>
      <c r="D593" t="s">
        <v>827</v>
      </c>
      <c r="E593" t="s">
        <v>830</v>
      </c>
      <c r="G593" s="26">
        <v>0.341212</v>
      </c>
      <c r="H593" s="27">
        <v>0</v>
      </c>
      <c r="I593" s="26">
        <v>0.341212</v>
      </c>
    </row>
    <row r="594" spans="2:9">
      <c r="B594" t="s">
        <v>756</v>
      </c>
      <c r="C594" t="s">
        <v>833</v>
      </c>
      <c r="D594" t="s">
        <v>827</v>
      </c>
      <c r="E594" t="s">
        <v>830</v>
      </c>
      <c r="G594" s="26">
        <v>0.341178</v>
      </c>
      <c r="H594" s="27">
        <v>0</v>
      </c>
      <c r="I594" s="26">
        <v>0.341178</v>
      </c>
    </row>
    <row r="595" spans="2:9">
      <c r="B595" t="s">
        <v>556</v>
      </c>
      <c r="C595" t="s">
        <v>833</v>
      </c>
      <c r="D595" t="s">
        <v>827</v>
      </c>
      <c r="E595" t="s">
        <v>830</v>
      </c>
      <c r="G595" s="26">
        <v>0.341178</v>
      </c>
      <c r="H595" s="27">
        <v>0.001896</v>
      </c>
      <c r="I595" s="26">
        <v>0.339282</v>
      </c>
    </row>
    <row r="596" spans="2:9">
      <c r="B596" t="s">
        <v>440</v>
      </c>
      <c r="C596" t="s">
        <v>826</v>
      </c>
      <c r="D596" t="s">
        <v>827</v>
      </c>
      <c r="E596" t="s">
        <v>830</v>
      </c>
      <c r="G596" s="26">
        <v>0.331792</v>
      </c>
      <c r="H596" s="27">
        <v>0</v>
      </c>
      <c r="I596" s="26">
        <v>0.331792</v>
      </c>
    </row>
    <row r="597" spans="2:9">
      <c r="B597" t="s">
        <v>341</v>
      </c>
      <c r="C597" t="s">
        <v>829</v>
      </c>
      <c r="D597" t="s">
        <v>827</v>
      </c>
      <c r="E597" t="s">
        <v>830</v>
      </c>
      <c r="G597" s="26">
        <v>0.331038</v>
      </c>
      <c r="H597" s="27">
        <v>0</v>
      </c>
      <c r="I597" s="26">
        <v>0.331038</v>
      </c>
    </row>
    <row r="598" spans="2:9">
      <c r="B598" t="s">
        <v>789</v>
      </c>
      <c r="C598" t="s">
        <v>833</v>
      </c>
      <c r="D598" t="s">
        <v>827</v>
      </c>
      <c r="E598" t="s">
        <v>830</v>
      </c>
      <c r="G598" s="26">
        <v>0.3888</v>
      </c>
      <c r="H598" s="26">
        <v>0.05895</v>
      </c>
      <c r="I598" s="26">
        <v>0.32985</v>
      </c>
    </row>
    <row r="599" spans="2:9">
      <c r="B599" t="s">
        <v>528</v>
      </c>
      <c r="C599" t="s">
        <v>831</v>
      </c>
      <c r="D599" t="s">
        <v>827</v>
      </c>
      <c r="E599" t="s">
        <v>828</v>
      </c>
      <c r="F599" t="s">
        <v>529</v>
      </c>
      <c r="G599" s="26">
        <v>0.328434</v>
      </c>
      <c r="H599" s="27">
        <v>0</v>
      </c>
      <c r="I599" s="26">
        <v>0.328434</v>
      </c>
    </row>
    <row r="600" spans="2:9">
      <c r="B600" t="s">
        <v>34</v>
      </c>
      <c r="C600" t="s">
        <v>829</v>
      </c>
      <c r="D600" t="s">
        <v>827</v>
      </c>
      <c r="E600" t="s">
        <v>830</v>
      </c>
      <c r="G600" s="26">
        <v>0.328064</v>
      </c>
      <c r="H600" s="27">
        <v>0</v>
      </c>
      <c r="I600" s="26">
        <v>0.328064</v>
      </c>
    </row>
    <row r="601" spans="2:9">
      <c r="B601" t="s">
        <v>612</v>
      </c>
      <c r="C601" t="s">
        <v>833</v>
      </c>
      <c r="D601" t="s">
        <v>827</v>
      </c>
      <c r="E601" t="s">
        <v>830</v>
      </c>
      <c r="G601" s="26">
        <v>0.98934</v>
      </c>
      <c r="H601" s="26">
        <v>0.66507</v>
      </c>
      <c r="I601" s="26">
        <v>0.32427</v>
      </c>
    </row>
    <row r="602" spans="2:9">
      <c r="B602" t="s">
        <v>265</v>
      </c>
      <c r="C602" t="s">
        <v>826</v>
      </c>
      <c r="D602" t="s">
        <v>827</v>
      </c>
      <c r="E602" t="s">
        <v>828</v>
      </c>
      <c r="F602" t="s">
        <v>266</v>
      </c>
      <c r="G602" s="26">
        <v>50.223616</v>
      </c>
      <c r="H602" s="26">
        <v>49.910715</v>
      </c>
      <c r="I602" s="26">
        <v>0.312901</v>
      </c>
    </row>
    <row r="603" spans="2:9">
      <c r="B603" t="s">
        <v>87</v>
      </c>
      <c r="C603" t="s">
        <v>826</v>
      </c>
      <c r="D603" t="s">
        <v>827</v>
      </c>
      <c r="E603" t="s">
        <v>830</v>
      </c>
      <c r="G603" s="26">
        <v>0.310822</v>
      </c>
      <c r="H603" s="27">
        <v>0</v>
      </c>
      <c r="I603" s="26">
        <v>0.310822</v>
      </c>
    </row>
    <row r="604" spans="2:9">
      <c r="B604" t="s">
        <v>58</v>
      </c>
      <c r="C604" t="s">
        <v>834</v>
      </c>
      <c r="D604" t="s">
        <v>827</v>
      </c>
      <c r="E604" t="s">
        <v>830</v>
      </c>
      <c r="G604" s="26">
        <v>6.19848</v>
      </c>
      <c r="H604" s="26">
        <v>5.888556</v>
      </c>
      <c r="I604" s="26">
        <v>0.309924</v>
      </c>
    </row>
    <row r="605" spans="2:9">
      <c r="B605" t="s">
        <v>130</v>
      </c>
      <c r="C605" t="s">
        <v>834</v>
      </c>
      <c r="D605" t="s">
        <v>827</v>
      </c>
      <c r="E605" t="s">
        <v>830</v>
      </c>
      <c r="G605" s="26">
        <v>13.015986</v>
      </c>
      <c r="H605" s="26">
        <v>12.711522</v>
      </c>
      <c r="I605" s="26">
        <v>0.304464</v>
      </c>
    </row>
    <row r="606" spans="2:9">
      <c r="B606" t="s">
        <v>444</v>
      </c>
      <c r="C606" t="s">
        <v>826</v>
      </c>
      <c r="D606" t="s">
        <v>827</v>
      </c>
      <c r="E606" t="s">
        <v>830</v>
      </c>
      <c r="G606" s="26">
        <v>0.303832</v>
      </c>
      <c r="H606" s="27">
        <v>0</v>
      </c>
      <c r="I606" s="26">
        <v>0.303832</v>
      </c>
    </row>
    <row r="607" spans="2:9">
      <c r="B607" t="s">
        <v>787</v>
      </c>
      <c r="C607" t="s">
        <v>826</v>
      </c>
      <c r="D607" t="s">
        <v>827</v>
      </c>
      <c r="E607" t="s">
        <v>830</v>
      </c>
      <c r="G607" s="26">
        <v>0.29824</v>
      </c>
      <c r="H607" s="27">
        <v>0</v>
      </c>
      <c r="I607" s="26">
        <v>0.29824</v>
      </c>
    </row>
    <row r="608" spans="2:9">
      <c r="B608" t="s">
        <v>282</v>
      </c>
      <c r="C608" t="s">
        <v>826</v>
      </c>
      <c r="D608" t="s">
        <v>827</v>
      </c>
      <c r="E608" t="s">
        <v>830</v>
      </c>
      <c r="G608" s="26">
        <v>0.297774</v>
      </c>
      <c r="H608" s="27">
        <v>0</v>
      </c>
      <c r="I608" s="26">
        <v>0.297774</v>
      </c>
    </row>
    <row r="609" spans="2:9">
      <c r="B609" t="s">
        <v>524</v>
      </c>
      <c r="C609" t="s">
        <v>832</v>
      </c>
      <c r="D609" t="s">
        <v>827</v>
      </c>
      <c r="E609" t="s">
        <v>830</v>
      </c>
      <c r="G609" s="26">
        <v>0.29376</v>
      </c>
      <c r="H609" s="27">
        <v>0</v>
      </c>
      <c r="I609" s="26">
        <v>0.29376</v>
      </c>
    </row>
    <row r="610" spans="2:9">
      <c r="B610" t="s">
        <v>217</v>
      </c>
      <c r="C610" t="s">
        <v>826</v>
      </c>
      <c r="D610" t="s">
        <v>827</v>
      </c>
      <c r="E610" t="s">
        <v>830</v>
      </c>
      <c r="G610" s="26">
        <v>0.281464</v>
      </c>
      <c r="H610" s="27">
        <v>0</v>
      </c>
      <c r="I610" s="26">
        <v>0.281464</v>
      </c>
    </row>
    <row r="611" spans="2:9">
      <c r="B611" t="s">
        <v>499</v>
      </c>
      <c r="C611" t="s">
        <v>832</v>
      </c>
      <c r="D611" t="s">
        <v>827</v>
      </c>
      <c r="E611" t="s">
        <v>830</v>
      </c>
      <c r="G611" s="26">
        <v>0.7344</v>
      </c>
      <c r="H611" s="26">
        <v>0.456184</v>
      </c>
      <c r="I611" s="26">
        <v>0.278216</v>
      </c>
    </row>
    <row r="612" spans="2:9">
      <c r="B612" t="s">
        <v>83</v>
      </c>
      <c r="C612" t="s">
        <v>826</v>
      </c>
      <c r="D612" t="s">
        <v>827</v>
      </c>
      <c r="E612" t="s">
        <v>830</v>
      </c>
      <c r="G612" s="26">
        <v>0.266552</v>
      </c>
      <c r="H612" s="27">
        <v>0</v>
      </c>
      <c r="I612" s="26">
        <v>0.266552</v>
      </c>
    </row>
    <row r="613" spans="2:9">
      <c r="B613" t="s">
        <v>218</v>
      </c>
      <c r="C613" t="s">
        <v>826</v>
      </c>
      <c r="D613" t="s">
        <v>827</v>
      </c>
      <c r="E613" t="s">
        <v>830</v>
      </c>
      <c r="G613" s="26">
        <v>0.263756</v>
      </c>
      <c r="H613" s="27">
        <v>0</v>
      </c>
      <c r="I613" s="26">
        <v>0.263756</v>
      </c>
    </row>
    <row r="614" spans="2:9">
      <c r="B614" t="s">
        <v>383</v>
      </c>
      <c r="C614" t="s">
        <v>829</v>
      </c>
      <c r="D614" t="s">
        <v>827</v>
      </c>
      <c r="E614" t="s">
        <v>830</v>
      </c>
      <c r="G614" s="26">
        <v>0.262358</v>
      </c>
      <c r="H614" s="27">
        <v>0</v>
      </c>
      <c r="I614" s="26">
        <v>0.262358</v>
      </c>
    </row>
    <row r="615" spans="2:9">
      <c r="B615" t="s">
        <v>296</v>
      </c>
      <c r="C615" t="s">
        <v>826</v>
      </c>
      <c r="D615" t="s">
        <v>827</v>
      </c>
      <c r="E615" t="s">
        <v>830</v>
      </c>
      <c r="G615" s="26">
        <v>0.262332</v>
      </c>
      <c r="H615" s="27">
        <v>0</v>
      </c>
      <c r="I615" s="26">
        <v>0.262332</v>
      </c>
    </row>
    <row r="616" spans="2:9">
      <c r="B616" t="s">
        <v>547</v>
      </c>
      <c r="C616" t="s">
        <v>834</v>
      </c>
      <c r="D616" t="s">
        <v>827</v>
      </c>
      <c r="E616" t="s">
        <v>830</v>
      </c>
      <c r="G616" s="26">
        <v>0.26784</v>
      </c>
      <c r="H616" s="26">
        <v>0.005952</v>
      </c>
      <c r="I616" s="26">
        <v>0.261888</v>
      </c>
    </row>
    <row r="617" spans="2:9">
      <c r="B617" t="s">
        <v>422</v>
      </c>
      <c r="C617" t="s">
        <v>829</v>
      </c>
      <c r="D617" t="s">
        <v>827</v>
      </c>
      <c r="E617" t="s">
        <v>830</v>
      </c>
      <c r="G617" s="26">
        <v>0.260028</v>
      </c>
      <c r="H617" s="27">
        <v>0</v>
      </c>
      <c r="I617" s="26">
        <v>0.260028</v>
      </c>
    </row>
    <row r="618" spans="2:9">
      <c r="B618" t="s">
        <v>362</v>
      </c>
      <c r="C618" t="s">
        <v>829</v>
      </c>
      <c r="D618" t="s">
        <v>827</v>
      </c>
      <c r="E618" t="s">
        <v>830</v>
      </c>
      <c r="G618" s="26">
        <v>0.254902</v>
      </c>
      <c r="H618" s="27">
        <v>0</v>
      </c>
      <c r="I618" s="26">
        <v>0.254902</v>
      </c>
    </row>
    <row r="619" spans="2:9">
      <c r="B619" t="s">
        <v>290</v>
      </c>
      <c r="C619" t="s">
        <v>829</v>
      </c>
      <c r="D619" t="s">
        <v>827</v>
      </c>
      <c r="E619" t="s">
        <v>830</v>
      </c>
      <c r="G619" s="26">
        <v>0.254004</v>
      </c>
      <c r="H619" s="27">
        <v>0</v>
      </c>
      <c r="I619" s="26">
        <v>0.254004</v>
      </c>
    </row>
    <row r="620" spans="2:9">
      <c r="B620" t="s">
        <v>576</v>
      </c>
      <c r="C620" t="s">
        <v>834</v>
      </c>
      <c r="D620" t="s">
        <v>827</v>
      </c>
      <c r="E620" t="s">
        <v>830</v>
      </c>
      <c r="G620" s="26">
        <v>0.24984</v>
      </c>
      <c r="H620" s="27">
        <v>0</v>
      </c>
      <c r="I620" s="26">
        <v>0.24984</v>
      </c>
    </row>
    <row r="621" spans="2:9">
      <c r="B621" t="s">
        <v>527</v>
      </c>
      <c r="C621" t="s">
        <v>834</v>
      </c>
      <c r="D621" t="s">
        <v>827</v>
      </c>
      <c r="E621" t="s">
        <v>830</v>
      </c>
      <c r="G621" s="26">
        <v>0.24984</v>
      </c>
      <c r="H621" s="27">
        <v>0</v>
      </c>
      <c r="I621" s="26">
        <v>0.24984</v>
      </c>
    </row>
    <row r="622" spans="2:9">
      <c r="B622" t="s">
        <v>477</v>
      </c>
      <c r="C622" t="s">
        <v>834</v>
      </c>
      <c r="D622" t="s">
        <v>827</v>
      </c>
      <c r="E622" t="s">
        <v>830</v>
      </c>
      <c r="G622" s="26">
        <v>0.24984</v>
      </c>
      <c r="H622" s="27">
        <v>0</v>
      </c>
      <c r="I622" s="26">
        <v>0.24984</v>
      </c>
    </row>
    <row r="623" spans="2:9">
      <c r="B623" t="s">
        <v>492</v>
      </c>
      <c r="C623" t="s">
        <v>834</v>
      </c>
      <c r="D623" t="s">
        <v>827</v>
      </c>
      <c r="E623" t="s">
        <v>830</v>
      </c>
      <c r="G623" s="26">
        <v>0.24984</v>
      </c>
      <c r="H623" s="27">
        <v>0</v>
      </c>
      <c r="I623" s="26">
        <v>0.24984</v>
      </c>
    </row>
    <row r="624" spans="2:9">
      <c r="B624" t="s">
        <v>652</v>
      </c>
      <c r="C624" t="s">
        <v>834</v>
      </c>
      <c r="D624" t="s">
        <v>827</v>
      </c>
      <c r="E624" t="s">
        <v>830</v>
      </c>
      <c r="G624" s="26">
        <v>0.24984</v>
      </c>
      <c r="H624" s="27">
        <v>0</v>
      </c>
      <c r="I624" s="26">
        <v>0.24984</v>
      </c>
    </row>
    <row r="625" spans="2:9">
      <c r="B625" t="s">
        <v>39</v>
      </c>
      <c r="C625" t="s">
        <v>834</v>
      </c>
      <c r="D625" t="s">
        <v>827</v>
      </c>
      <c r="E625" t="s">
        <v>830</v>
      </c>
      <c r="G625" s="26">
        <v>0.24984</v>
      </c>
      <c r="H625" s="27">
        <v>0</v>
      </c>
      <c r="I625" s="26">
        <v>0.24984</v>
      </c>
    </row>
    <row r="626" spans="2:9">
      <c r="B626" t="s">
        <v>675</v>
      </c>
      <c r="C626" t="s">
        <v>834</v>
      </c>
      <c r="D626" t="s">
        <v>827</v>
      </c>
      <c r="E626" t="s">
        <v>830</v>
      </c>
      <c r="G626" s="26">
        <v>0.24984</v>
      </c>
      <c r="H626" s="27">
        <v>0</v>
      </c>
      <c r="I626" s="26">
        <v>0.24984</v>
      </c>
    </row>
    <row r="627" spans="2:9">
      <c r="B627" t="s">
        <v>9</v>
      </c>
      <c r="C627" t="s">
        <v>834</v>
      </c>
      <c r="D627" t="s">
        <v>827</v>
      </c>
      <c r="E627" t="s">
        <v>830</v>
      </c>
      <c r="G627" s="26">
        <v>0.24984</v>
      </c>
      <c r="H627" s="27">
        <v>0</v>
      </c>
      <c r="I627" s="26">
        <v>0.24984</v>
      </c>
    </row>
    <row r="628" spans="2:9">
      <c r="B628" t="s">
        <v>703</v>
      </c>
      <c r="C628" t="s">
        <v>834</v>
      </c>
      <c r="D628" t="s">
        <v>827</v>
      </c>
      <c r="E628" t="s">
        <v>830</v>
      </c>
      <c r="G628" s="26">
        <v>0.292422</v>
      </c>
      <c r="H628" s="26">
        <v>0.04485</v>
      </c>
      <c r="I628" s="26">
        <v>0.247572</v>
      </c>
    </row>
    <row r="629" spans="2:9">
      <c r="B629" t="s">
        <v>59</v>
      </c>
      <c r="C629" t="s">
        <v>834</v>
      </c>
      <c r="D629" t="s">
        <v>827</v>
      </c>
      <c r="E629" t="s">
        <v>830</v>
      </c>
      <c r="G629" s="26">
        <v>0.24984</v>
      </c>
      <c r="H629" s="27">
        <v>0.004511</v>
      </c>
      <c r="I629" s="26">
        <v>0.245329</v>
      </c>
    </row>
    <row r="630" spans="2:9">
      <c r="B630" t="s">
        <v>405</v>
      </c>
      <c r="C630" t="s">
        <v>829</v>
      </c>
      <c r="D630" t="s">
        <v>827</v>
      </c>
      <c r="E630" t="s">
        <v>830</v>
      </c>
      <c r="G630" s="26">
        <v>0.243718</v>
      </c>
      <c r="H630" s="27">
        <v>0</v>
      </c>
      <c r="I630" s="26">
        <v>0.243718</v>
      </c>
    </row>
    <row r="631" spans="2:9">
      <c r="B631" t="s">
        <v>653</v>
      </c>
      <c r="C631" t="s">
        <v>826</v>
      </c>
      <c r="D631" t="s">
        <v>827</v>
      </c>
      <c r="E631" t="s">
        <v>830</v>
      </c>
      <c r="G631" s="26">
        <v>0.243252</v>
      </c>
      <c r="H631" s="27">
        <v>0</v>
      </c>
      <c r="I631" s="26">
        <v>0.243252</v>
      </c>
    </row>
    <row r="632" spans="2:9">
      <c r="B632" t="s">
        <v>502</v>
      </c>
      <c r="C632" t="s">
        <v>833</v>
      </c>
      <c r="D632" t="s">
        <v>827</v>
      </c>
      <c r="E632" t="s">
        <v>830</v>
      </c>
      <c r="G632" s="26">
        <v>0.3888</v>
      </c>
      <c r="H632" s="26">
        <v>0.14958</v>
      </c>
      <c r="I632" s="26">
        <v>0.23922</v>
      </c>
    </row>
    <row r="633" spans="2:9">
      <c r="B633" t="s">
        <v>410</v>
      </c>
      <c r="C633" t="s">
        <v>829</v>
      </c>
      <c r="D633" t="s">
        <v>827</v>
      </c>
      <c r="E633" t="s">
        <v>830</v>
      </c>
      <c r="G633" s="26">
        <v>0.23596</v>
      </c>
      <c r="H633" s="27">
        <v>0</v>
      </c>
      <c r="I633" s="26">
        <v>0.23596</v>
      </c>
    </row>
    <row r="634" spans="2:9">
      <c r="B634" t="s">
        <v>250</v>
      </c>
      <c r="C634" t="s">
        <v>826</v>
      </c>
      <c r="D634" t="s">
        <v>827</v>
      </c>
      <c r="E634" t="s">
        <v>830</v>
      </c>
      <c r="G634" s="26">
        <v>0.233466</v>
      </c>
      <c r="H634" s="27">
        <v>0</v>
      </c>
      <c r="I634" s="26">
        <v>0.233466</v>
      </c>
    </row>
    <row r="635" spans="2:9">
      <c r="B635" t="s">
        <v>600</v>
      </c>
      <c r="C635" t="s">
        <v>833</v>
      </c>
      <c r="D635" t="s">
        <v>827</v>
      </c>
      <c r="E635" t="s">
        <v>830</v>
      </c>
      <c r="G635" s="26">
        <v>0.972</v>
      </c>
      <c r="H635" s="26">
        <v>0.7452</v>
      </c>
      <c r="I635" s="26">
        <v>0.2268</v>
      </c>
    </row>
    <row r="636" spans="2:9">
      <c r="B636" t="s">
        <v>262</v>
      </c>
      <c r="C636" t="s">
        <v>829</v>
      </c>
      <c r="D636" t="s">
        <v>827</v>
      </c>
      <c r="E636" t="s">
        <v>830</v>
      </c>
      <c r="G636" s="26">
        <v>0.217916</v>
      </c>
      <c r="H636" s="27">
        <v>0</v>
      </c>
      <c r="I636" s="26">
        <v>0.217916</v>
      </c>
    </row>
    <row r="637" spans="2:9">
      <c r="B637" t="s">
        <v>570</v>
      </c>
      <c r="C637" t="s">
        <v>834</v>
      </c>
      <c r="D637" t="s">
        <v>827</v>
      </c>
      <c r="E637" t="s">
        <v>830</v>
      </c>
      <c r="G637" s="26">
        <v>0.21528</v>
      </c>
      <c r="H637" s="27">
        <v>0</v>
      </c>
      <c r="I637" s="26">
        <v>0.21528</v>
      </c>
    </row>
    <row r="638" spans="2:9">
      <c r="B638" t="s">
        <v>155</v>
      </c>
      <c r="C638" t="s">
        <v>826</v>
      </c>
      <c r="D638" t="s">
        <v>827</v>
      </c>
      <c r="E638" t="s">
        <v>830</v>
      </c>
      <c r="G638" s="26">
        <v>0.213894</v>
      </c>
      <c r="H638" s="27">
        <v>0</v>
      </c>
      <c r="I638" s="26">
        <v>0.213894</v>
      </c>
    </row>
    <row r="639" spans="2:9">
      <c r="B639" t="s">
        <v>423</v>
      </c>
      <c r="C639" t="s">
        <v>829</v>
      </c>
      <c r="D639" t="s">
        <v>827</v>
      </c>
      <c r="E639" t="s">
        <v>830</v>
      </c>
      <c r="G639" s="26">
        <v>0.206812</v>
      </c>
      <c r="H639" s="27">
        <v>0</v>
      </c>
      <c r="I639" s="26">
        <v>0.206812</v>
      </c>
    </row>
    <row r="640" spans="2:9">
      <c r="B640" t="s">
        <v>401</v>
      </c>
      <c r="C640" t="s">
        <v>829</v>
      </c>
      <c r="D640" t="s">
        <v>827</v>
      </c>
      <c r="E640" t="s">
        <v>830</v>
      </c>
      <c r="G640" s="26">
        <v>0.205948</v>
      </c>
      <c r="H640" s="27">
        <v>0</v>
      </c>
      <c r="I640" s="26">
        <v>0.205948</v>
      </c>
    </row>
    <row r="641" spans="2:9">
      <c r="B641" t="s">
        <v>113</v>
      </c>
      <c r="C641" t="s">
        <v>826</v>
      </c>
      <c r="D641" t="s">
        <v>827</v>
      </c>
      <c r="E641" t="s">
        <v>830</v>
      </c>
      <c r="G641" s="26">
        <v>0.20271</v>
      </c>
      <c r="H641" s="27">
        <v>0</v>
      </c>
      <c r="I641" s="26">
        <v>0.20271</v>
      </c>
    </row>
    <row r="642" spans="2:9">
      <c r="B642" t="s">
        <v>237</v>
      </c>
      <c r="C642" t="s">
        <v>829</v>
      </c>
      <c r="D642" t="s">
        <v>827</v>
      </c>
      <c r="E642" t="s">
        <v>830</v>
      </c>
      <c r="G642" s="26">
        <v>0.198982</v>
      </c>
      <c r="H642" s="27">
        <v>0</v>
      </c>
      <c r="I642" s="26">
        <v>0.198982</v>
      </c>
    </row>
    <row r="643" spans="2:9">
      <c r="B643" t="s">
        <v>262</v>
      </c>
      <c r="C643" t="s">
        <v>826</v>
      </c>
      <c r="D643" t="s">
        <v>827</v>
      </c>
      <c r="E643" t="s">
        <v>830</v>
      </c>
      <c r="G643" s="26">
        <v>0.197118</v>
      </c>
      <c r="H643" s="27">
        <v>0</v>
      </c>
      <c r="I643" s="26">
        <v>0.197118</v>
      </c>
    </row>
    <row r="644" spans="2:9">
      <c r="B644" t="s">
        <v>656</v>
      </c>
      <c r="C644" t="s">
        <v>833</v>
      </c>
      <c r="D644" t="s">
        <v>827</v>
      </c>
      <c r="E644" t="s">
        <v>830</v>
      </c>
      <c r="G644" s="26">
        <v>0.1944</v>
      </c>
      <c r="H644" s="27">
        <v>0</v>
      </c>
      <c r="I644" s="26">
        <v>0.1944</v>
      </c>
    </row>
    <row r="645" spans="2:9">
      <c r="B645" t="s">
        <v>31</v>
      </c>
      <c r="C645" t="s">
        <v>833</v>
      </c>
      <c r="D645" t="s">
        <v>827</v>
      </c>
      <c r="E645" t="s">
        <v>830</v>
      </c>
      <c r="G645" s="26">
        <v>0.1944</v>
      </c>
      <c r="H645" s="27">
        <v>0</v>
      </c>
      <c r="I645" s="26">
        <v>0.1944</v>
      </c>
    </row>
    <row r="646" spans="2:9">
      <c r="B646" t="s">
        <v>620</v>
      </c>
      <c r="C646" t="s">
        <v>833</v>
      </c>
      <c r="D646" t="s">
        <v>827</v>
      </c>
      <c r="E646" t="s">
        <v>830</v>
      </c>
      <c r="G646" s="26">
        <v>0.1944</v>
      </c>
      <c r="H646" s="27">
        <v>0</v>
      </c>
      <c r="I646" s="26">
        <v>0.1944</v>
      </c>
    </row>
    <row r="647" spans="2:9">
      <c r="B647" t="s">
        <v>793</v>
      </c>
      <c r="C647" t="s">
        <v>833</v>
      </c>
      <c r="D647" t="s">
        <v>827</v>
      </c>
      <c r="E647" t="s">
        <v>830</v>
      </c>
      <c r="G647" s="26">
        <v>0.1944</v>
      </c>
      <c r="H647" s="27">
        <v>0</v>
      </c>
      <c r="I647" s="26">
        <v>0.1944</v>
      </c>
    </row>
    <row r="648" spans="2:9">
      <c r="B648" t="s">
        <v>525</v>
      </c>
      <c r="C648" t="s">
        <v>833</v>
      </c>
      <c r="D648" t="s">
        <v>827</v>
      </c>
      <c r="E648" t="s">
        <v>830</v>
      </c>
      <c r="G648" s="26">
        <v>0.1944</v>
      </c>
      <c r="H648" s="27">
        <v>0</v>
      </c>
      <c r="I648" s="26">
        <v>0.1944</v>
      </c>
    </row>
    <row r="649" spans="2:9">
      <c r="B649" t="s">
        <v>722</v>
      </c>
      <c r="C649" t="s">
        <v>833</v>
      </c>
      <c r="D649" t="s">
        <v>827</v>
      </c>
      <c r="E649" t="s">
        <v>830</v>
      </c>
      <c r="G649" s="26">
        <v>0.1944</v>
      </c>
      <c r="H649" s="27">
        <v>0</v>
      </c>
      <c r="I649" s="26">
        <v>0.1944</v>
      </c>
    </row>
    <row r="650" spans="2:9">
      <c r="B650" t="s">
        <v>583</v>
      </c>
      <c r="C650" t="s">
        <v>833</v>
      </c>
      <c r="D650" t="s">
        <v>827</v>
      </c>
      <c r="E650" t="s">
        <v>830</v>
      </c>
      <c r="G650" s="26">
        <v>0.1944</v>
      </c>
      <c r="H650" s="27">
        <v>0</v>
      </c>
      <c r="I650" s="26">
        <v>0.1944</v>
      </c>
    </row>
    <row r="651" spans="2:9">
      <c r="B651" t="s">
        <v>651</v>
      </c>
      <c r="C651" t="s">
        <v>833</v>
      </c>
      <c r="D651" t="s">
        <v>827</v>
      </c>
      <c r="E651" t="s">
        <v>830</v>
      </c>
      <c r="G651" s="26">
        <v>0.1944</v>
      </c>
      <c r="H651" s="27">
        <v>0</v>
      </c>
      <c r="I651" s="26">
        <v>0.1944</v>
      </c>
    </row>
    <row r="652" spans="2:9">
      <c r="B652" t="s">
        <v>508</v>
      </c>
      <c r="C652" t="s">
        <v>833</v>
      </c>
      <c r="D652" t="s">
        <v>827</v>
      </c>
      <c r="E652" t="s">
        <v>830</v>
      </c>
      <c r="G652" s="26">
        <v>0.1944</v>
      </c>
      <c r="H652" s="27">
        <v>0</v>
      </c>
      <c r="I652" s="26">
        <v>0.1944</v>
      </c>
    </row>
    <row r="653" spans="2:9">
      <c r="B653" t="s">
        <v>642</v>
      </c>
      <c r="C653" t="s">
        <v>833</v>
      </c>
      <c r="D653" t="s">
        <v>827</v>
      </c>
      <c r="E653" t="s">
        <v>830</v>
      </c>
      <c r="G653" s="26">
        <v>0.1944</v>
      </c>
      <c r="H653" s="27">
        <v>0</v>
      </c>
      <c r="I653" s="26">
        <v>0.1944</v>
      </c>
    </row>
    <row r="654" spans="2:9">
      <c r="B654" t="s">
        <v>669</v>
      </c>
      <c r="C654" t="s">
        <v>833</v>
      </c>
      <c r="D654" t="s">
        <v>827</v>
      </c>
      <c r="E654" t="s">
        <v>830</v>
      </c>
      <c r="G654" s="26">
        <v>0.1944</v>
      </c>
      <c r="H654" s="27">
        <v>0</v>
      </c>
      <c r="I654" s="26">
        <v>0.1944</v>
      </c>
    </row>
    <row r="655" spans="2:9">
      <c r="B655" t="s">
        <v>478</v>
      </c>
      <c r="C655" t="s">
        <v>833</v>
      </c>
      <c r="D655" t="s">
        <v>827</v>
      </c>
      <c r="E655" t="s">
        <v>830</v>
      </c>
      <c r="G655" s="26">
        <v>0.1944</v>
      </c>
      <c r="H655" s="27">
        <v>0</v>
      </c>
      <c r="I655" s="26">
        <v>0.1944</v>
      </c>
    </row>
    <row r="656" spans="2:9">
      <c r="B656" t="s">
        <v>601</v>
      </c>
      <c r="C656" t="s">
        <v>833</v>
      </c>
      <c r="D656" t="s">
        <v>827</v>
      </c>
      <c r="E656" t="s">
        <v>830</v>
      </c>
      <c r="G656" s="26">
        <v>0.1944</v>
      </c>
      <c r="H656" s="27">
        <v>0</v>
      </c>
      <c r="I656" s="26">
        <v>0.1944</v>
      </c>
    </row>
    <row r="657" spans="2:9">
      <c r="B657" t="s">
        <v>575</v>
      </c>
      <c r="C657" t="s">
        <v>833</v>
      </c>
      <c r="D657" t="s">
        <v>827</v>
      </c>
      <c r="E657" t="s">
        <v>830</v>
      </c>
      <c r="G657" s="26">
        <v>0.1944</v>
      </c>
      <c r="H657" s="27">
        <v>0</v>
      </c>
      <c r="I657" s="26">
        <v>0.1944</v>
      </c>
    </row>
    <row r="658" spans="2:9">
      <c r="B658" t="s">
        <v>806</v>
      </c>
      <c r="C658" t="s">
        <v>833</v>
      </c>
      <c r="D658" t="s">
        <v>827</v>
      </c>
      <c r="E658" t="s">
        <v>830</v>
      </c>
      <c r="G658" s="26">
        <v>0.1944</v>
      </c>
      <c r="H658" s="27">
        <v>0</v>
      </c>
      <c r="I658" s="26">
        <v>0.1944</v>
      </c>
    </row>
    <row r="659" spans="2:9">
      <c r="B659" t="s">
        <v>695</v>
      </c>
      <c r="C659" t="s">
        <v>833</v>
      </c>
      <c r="D659" t="s">
        <v>827</v>
      </c>
      <c r="E659" t="s">
        <v>830</v>
      </c>
      <c r="G659" s="26">
        <v>0.1944</v>
      </c>
      <c r="H659" s="27">
        <v>0</v>
      </c>
      <c r="I659" s="26">
        <v>0.1944</v>
      </c>
    </row>
    <row r="660" spans="2:9">
      <c r="B660" t="s">
        <v>590</v>
      </c>
      <c r="C660" t="s">
        <v>833</v>
      </c>
      <c r="D660" t="s">
        <v>827</v>
      </c>
      <c r="E660" t="s">
        <v>828</v>
      </c>
      <c r="F660" t="s">
        <v>591</v>
      </c>
      <c r="G660" s="26">
        <v>0.1944</v>
      </c>
      <c r="H660" s="27">
        <v>0</v>
      </c>
      <c r="I660" s="26">
        <v>0.1944</v>
      </c>
    </row>
    <row r="661" spans="2:9">
      <c r="B661" t="s">
        <v>568</v>
      </c>
      <c r="C661" t="s">
        <v>833</v>
      </c>
      <c r="D661" t="s">
        <v>827</v>
      </c>
      <c r="E661" t="s">
        <v>830</v>
      </c>
      <c r="G661" s="26">
        <v>0.1944</v>
      </c>
      <c r="H661" s="27">
        <v>0</v>
      </c>
      <c r="I661" s="26">
        <v>0.1944</v>
      </c>
    </row>
    <row r="662" spans="2:9">
      <c r="B662" t="s">
        <v>538</v>
      </c>
      <c r="C662" t="s">
        <v>833</v>
      </c>
      <c r="D662" t="s">
        <v>827</v>
      </c>
      <c r="E662" t="s">
        <v>830</v>
      </c>
      <c r="G662" s="26">
        <v>0.1944</v>
      </c>
      <c r="H662" s="27">
        <v>0</v>
      </c>
      <c r="I662" s="26">
        <v>0.1944</v>
      </c>
    </row>
    <row r="663" spans="2:9">
      <c r="B663" t="s">
        <v>541</v>
      </c>
      <c r="C663" t="s">
        <v>833</v>
      </c>
      <c r="D663" t="s">
        <v>827</v>
      </c>
      <c r="E663" t="s">
        <v>830</v>
      </c>
      <c r="G663" s="26">
        <v>0.1944</v>
      </c>
      <c r="H663" s="27">
        <v>0</v>
      </c>
      <c r="I663" s="26">
        <v>0.1944</v>
      </c>
    </row>
    <row r="664" spans="2:9">
      <c r="B664" t="s">
        <v>697</v>
      </c>
      <c r="C664" t="s">
        <v>833</v>
      </c>
      <c r="D664" t="s">
        <v>827</v>
      </c>
      <c r="E664" t="s">
        <v>830</v>
      </c>
      <c r="G664" s="26">
        <v>0.1944</v>
      </c>
      <c r="H664" s="27">
        <v>0</v>
      </c>
      <c r="I664" s="26">
        <v>0.1944</v>
      </c>
    </row>
    <row r="665" spans="2:9">
      <c r="B665" t="s">
        <v>676</v>
      </c>
      <c r="C665" t="s">
        <v>833</v>
      </c>
      <c r="D665" t="s">
        <v>827</v>
      </c>
      <c r="E665" t="s">
        <v>830</v>
      </c>
      <c r="G665" s="26">
        <v>0.1944</v>
      </c>
      <c r="H665" s="27">
        <v>0</v>
      </c>
      <c r="I665" s="26">
        <v>0.1944</v>
      </c>
    </row>
    <row r="666" spans="2:9">
      <c r="B666" t="s">
        <v>189</v>
      </c>
      <c r="C666" t="s">
        <v>833</v>
      </c>
      <c r="D666" t="s">
        <v>827</v>
      </c>
      <c r="E666" t="s">
        <v>830</v>
      </c>
      <c r="G666" s="26">
        <v>0.1944</v>
      </c>
      <c r="H666" s="27">
        <v>0</v>
      </c>
      <c r="I666" s="26">
        <v>0.1944</v>
      </c>
    </row>
    <row r="667" spans="2:9">
      <c r="B667" t="s">
        <v>717</v>
      </c>
      <c r="C667" t="s">
        <v>833</v>
      </c>
      <c r="D667" t="s">
        <v>827</v>
      </c>
      <c r="E667" t="s">
        <v>830</v>
      </c>
      <c r="G667" s="26">
        <v>0.1944</v>
      </c>
      <c r="H667" s="27">
        <v>0</v>
      </c>
      <c r="I667" s="26">
        <v>0.1944</v>
      </c>
    </row>
    <row r="668" spans="2:9">
      <c r="B668" t="s">
        <v>441</v>
      </c>
      <c r="C668" t="s">
        <v>833</v>
      </c>
      <c r="D668" t="s">
        <v>827</v>
      </c>
      <c r="E668" t="s">
        <v>830</v>
      </c>
      <c r="G668" s="26">
        <v>0.1944</v>
      </c>
      <c r="H668" s="27">
        <v>0</v>
      </c>
      <c r="I668" s="26">
        <v>0.1944</v>
      </c>
    </row>
    <row r="669" spans="2:9">
      <c r="B669" t="s">
        <v>667</v>
      </c>
      <c r="C669" t="s">
        <v>833</v>
      </c>
      <c r="D669" t="s">
        <v>827</v>
      </c>
      <c r="E669" t="s">
        <v>830</v>
      </c>
      <c r="G669" s="26">
        <v>0.1944</v>
      </c>
      <c r="H669" s="27">
        <v>0</v>
      </c>
      <c r="I669" s="26">
        <v>0.1944</v>
      </c>
    </row>
    <row r="670" spans="2:9">
      <c r="B670" t="s">
        <v>515</v>
      </c>
      <c r="C670" t="s">
        <v>833</v>
      </c>
      <c r="D670" t="s">
        <v>827</v>
      </c>
      <c r="E670" t="s">
        <v>830</v>
      </c>
      <c r="G670" s="26">
        <v>0.1944</v>
      </c>
      <c r="H670" s="27">
        <v>0</v>
      </c>
      <c r="I670" s="26">
        <v>0.1944</v>
      </c>
    </row>
    <row r="671" spans="2:9">
      <c r="B671" t="s">
        <v>607</v>
      </c>
      <c r="C671" t="s">
        <v>833</v>
      </c>
      <c r="D671" t="s">
        <v>827</v>
      </c>
      <c r="E671" t="s">
        <v>830</v>
      </c>
      <c r="G671" s="26">
        <v>0.1944</v>
      </c>
      <c r="H671" s="27">
        <v>0</v>
      </c>
      <c r="I671" s="26">
        <v>0.1944</v>
      </c>
    </row>
    <row r="672" spans="2:9">
      <c r="B672" t="s">
        <v>738</v>
      </c>
      <c r="C672" t="s">
        <v>833</v>
      </c>
      <c r="D672" t="s">
        <v>827</v>
      </c>
      <c r="E672" t="s">
        <v>830</v>
      </c>
      <c r="G672" s="26">
        <v>0.1944</v>
      </c>
      <c r="H672" s="27">
        <v>0</v>
      </c>
      <c r="I672" s="26">
        <v>0.1944</v>
      </c>
    </row>
    <row r="673" spans="2:9">
      <c r="B673" t="s">
        <v>661</v>
      </c>
      <c r="C673" t="s">
        <v>833</v>
      </c>
      <c r="D673" t="s">
        <v>827</v>
      </c>
      <c r="E673" t="s">
        <v>830</v>
      </c>
      <c r="G673" s="26">
        <v>0.1944</v>
      </c>
      <c r="H673" s="27">
        <v>0</v>
      </c>
      <c r="I673" s="26">
        <v>0.1944</v>
      </c>
    </row>
    <row r="674" spans="2:9">
      <c r="B674" t="s">
        <v>569</v>
      </c>
      <c r="C674" t="s">
        <v>833</v>
      </c>
      <c r="D674" t="s">
        <v>827</v>
      </c>
      <c r="E674" t="s">
        <v>830</v>
      </c>
      <c r="G674" s="26">
        <v>0.1944</v>
      </c>
      <c r="H674" s="27">
        <v>0</v>
      </c>
      <c r="I674" s="26">
        <v>0.1944</v>
      </c>
    </row>
    <row r="675" spans="2:9">
      <c r="B675" t="s">
        <v>596</v>
      </c>
      <c r="C675" t="s">
        <v>833</v>
      </c>
      <c r="D675" t="s">
        <v>827</v>
      </c>
      <c r="E675" t="s">
        <v>830</v>
      </c>
      <c r="G675" s="26">
        <v>0.1944</v>
      </c>
      <c r="H675" s="27">
        <v>0</v>
      </c>
      <c r="I675" s="26">
        <v>0.1944</v>
      </c>
    </row>
    <row r="676" spans="2:9">
      <c r="B676" t="s">
        <v>643</v>
      </c>
      <c r="C676" t="s">
        <v>833</v>
      </c>
      <c r="D676" t="s">
        <v>827</v>
      </c>
      <c r="E676" t="s">
        <v>830</v>
      </c>
      <c r="G676" s="26">
        <v>0.1944</v>
      </c>
      <c r="H676" s="27">
        <v>0</v>
      </c>
      <c r="I676" s="26">
        <v>0.1944</v>
      </c>
    </row>
    <row r="677" spans="2:9">
      <c r="B677" t="s">
        <v>567</v>
      </c>
      <c r="C677" t="s">
        <v>833</v>
      </c>
      <c r="D677" t="s">
        <v>827</v>
      </c>
      <c r="E677" t="s">
        <v>830</v>
      </c>
      <c r="G677" s="26">
        <v>0.1944</v>
      </c>
      <c r="H677" s="27">
        <v>0</v>
      </c>
      <c r="I677" s="26">
        <v>0.1944</v>
      </c>
    </row>
    <row r="678" spans="2:9">
      <c r="B678" t="s">
        <v>743</v>
      </c>
      <c r="C678" t="s">
        <v>833</v>
      </c>
      <c r="D678" t="s">
        <v>827</v>
      </c>
      <c r="E678" t="s">
        <v>830</v>
      </c>
      <c r="G678" s="26">
        <v>0.1944</v>
      </c>
      <c r="H678" s="27">
        <v>0</v>
      </c>
      <c r="I678" s="26">
        <v>0.1944</v>
      </c>
    </row>
    <row r="679" spans="2:9">
      <c r="B679" t="s">
        <v>489</v>
      </c>
      <c r="C679" t="s">
        <v>833</v>
      </c>
      <c r="D679" t="s">
        <v>827</v>
      </c>
      <c r="E679" t="s">
        <v>830</v>
      </c>
      <c r="G679" s="26">
        <v>0.1944</v>
      </c>
      <c r="H679" s="27">
        <v>0</v>
      </c>
      <c r="I679" s="26">
        <v>0.1944</v>
      </c>
    </row>
    <row r="680" spans="2:9">
      <c r="B680" t="s">
        <v>542</v>
      </c>
      <c r="C680" t="s">
        <v>833</v>
      </c>
      <c r="D680" t="s">
        <v>827</v>
      </c>
      <c r="E680" t="s">
        <v>830</v>
      </c>
      <c r="G680" s="26">
        <v>0.1944</v>
      </c>
      <c r="H680" s="27">
        <v>0</v>
      </c>
      <c r="I680" s="26">
        <v>0.1944</v>
      </c>
    </row>
    <row r="681" spans="2:9">
      <c r="B681" t="s">
        <v>636</v>
      </c>
      <c r="C681" t="s">
        <v>833</v>
      </c>
      <c r="D681" t="s">
        <v>827</v>
      </c>
      <c r="E681" t="s">
        <v>830</v>
      </c>
      <c r="G681" s="26">
        <v>0.1944</v>
      </c>
      <c r="H681" s="27">
        <v>0</v>
      </c>
      <c r="I681" s="26">
        <v>0.1944</v>
      </c>
    </row>
    <row r="682" spans="2:9">
      <c r="B682" t="s">
        <v>603</v>
      </c>
      <c r="C682" t="s">
        <v>833</v>
      </c>
      <c r="D682" t="s">
        <v>827</v>
      </c>
      <c r="E682" t="s">
        <v>830</v>
      </c>
      <c r="G682" s="26">
        <v>0.1944</v>
      </c>
      <c r="H682" s="27">
        <v>0</v>
      </c>
      <c r="I682" s="26">
        <v>0.1944</v>
      </c>
    </row>
    <row r="683" spans="2:9">
      <c r="B683" t="s">
        <v>658</v>
      </c>
      <c r="C683" t="s">
        <v>833</v>
      </c>
      <c r="D683" t="s">
        <v>827</v>
      </c>
      <c r="E683" t="s">
        <v>830</v>
      </c>
      <c r="G683" s="26">
        <v>0.1944</v>
      </c>
      <c r="H683" s="27">
        <v>0</v>
      </c>
      <c r="I683" s="26">
        <v>0.1944</v>
      </c>
    </row>
    <row r="684" spans="2:9">
      <c r="B684" t="s">
        <v>578</v>
      </c>
      <c r="C684" t="s">
        <v>833</v>
      </c>
      <c r="D684" t="s">
        <v>827</v>
      </c>
      <c r="E684" t="s">
        <v>830</v>
      </c>
      <c r="G684" s="26">
        <v>0.1944</v>
      </c>
      <c r="H684" s="27">
        <v>0</v>
      </c>
      <c r="I684" s="26">
        <v>0.1944</v>
      </c>
    </row>
    <row r="685" spans="2:9">
      <c r="B685" t="s">
        <v>769</v>
      </c>
      <c r="C685" t="s">
        <v>833</v>
      </c>
      <c r="D685" t="s">
        <v>827</v>
      </c>
      <c r="E685" t="s">
        <v>830</v>
      </c>
      <c r="G685" s="26">
        <v>0.1944</v>
      </c>
      <c r="H685" s="27">
        <v>0</v>
      </c>
      <c r="I685" s="26">
        <v>0.1944</v>
      </c>
    </row>
    <row r="686" spans="2:9">
      <c r="B686" t="s">
        <v>559</v>
      </c>
      <c r="C686" t="s">
        <v>833</v>
      </c>
      <c r="D686" t="s">
        <v>827</v>
      </c>
      <c r="E686" t="s">
        <v>830</v>
      </c>
      <c r="G686" s="26">
        <v>0.1944</v>
      </c>
      <c r="H686" s="27">
        <v>0</v>
      </c>
      <c r="I686" s="26">
        <v>0.1944</v>
      </c>
    </row>
    <row r="687" spans="2:9">
      <c r="B687" t="s">
        <v>818</v>
      </c>
      <c r="C687" t="s">
        <v>833</v>
      </c>
      <c r="D687" t="s">
        <v>827</v>
      </c>
      <c r="E687" t="s">
        <v>830</v>
      </c>
      <c r="G687" s="26">
        <v>0.1944</v>
      </c>
      <c r="H687" s="27">
        <v>0</v>
      </c>
      <c r="I687" s="26">
        <v>0.1944</v>
      </c>
    </row>
    <row r="688" spans="2:9">
      <c r="B688" t="s">
        <v>539</v>
      </c>
      <c r="C688" t="s">
        <v>833</v>
      </c>
      <c r="D688" t="s">
        <v>827</v>
      </c>
      <c r="E688" t="s">
        <v>830</v>
      </c>
      <c r="G688" s="26">
        <v>0.1944</v>
      </c>
      <c r="H688" s="27">
        <v>0</v>
      </c>
      <c r="I688" s="26">
        <v>0.1944</v>
      </c>
    </row>
    <row r="689" spans="2:9">
      <c r="B689" t="s">
        <v>744</v>
      </c>
      <c r="C689" t="s">
        <v>833</v>
      </c>
      <c r="D689" t="s">
        <v>827</v>
      </c>
      <c r="E689" t="s">
        <v>830</v>
      </c>
      <c r="G689" s="26">
        <v>0.1944</v>
      </c>
      <c r="H689" s="27">
        <v>0</v>
      </c>
      <c r="I689" s="26">
        <v>0.1944</v>
      </c>
    </row>
    <row r="690" spans="2:9">
      <c r="B690" t="s">
        <v>573</v>
      </c>
      <c r="C690" t="s">
        <v>833</v>
      </c>
      <c r="D690" t="s">
        <v>827</v>
      </c>
      <c r="E690" t="s">
        <v>830</v>
      </c>
      <c r="G690" s="26">
        <v>0.1944</v>
      </c>
      <c r="H690" s="27">
        <v>0</v>
      </c>
      <c r="I690" s="26">
        <v>0.1944</v>
      </c>
    </row>
    <row r="691" spans="2:9">
      <c r="B691" t="s">
        <v>40</v>
      </c>
      <c r="C691" t="s">
        <v>833</v>
      </c>
      <c r="D691" t="s">
        <v>827</v>
      </c>
      <c r="E691" t="s">
        <v>830</v>
      </c>
      <c r="G691" s="26">
        <v>0.1944</v>
      </c>
      <c r="H691" s="27">
        <v>0</v>
      </c>
      <c r="I691" s="26">
        <v>0.1944</v>
      </c>
    </row>
    <row r="692" spans="2:9">
      <c r="B692" t="s">
        <v>466</v>
      </c>
      <c r="C692" t="s">
        <v>833</v>
      </c>
      <c r="D692" t="s">
        <v>827</v>
      </c>
      <c r="E692" t="s">
        <v>830</v>
      </c>
      <c r="G692" s="26">
        <v>0.1944</v>
      </c>
      <c r="H692" s="27">
        <v>0</v>
      </c>
      <c r="I692" s="26">
        <v>0.1944</v>
      </c>
    </row>
    <row r="693" spans="2:9">
      <c r="B693" t="s">
        <v>795</v>
      </c>
      <c r="C693" t="s">
        <v>833</v>
      </c>
      <c r="D693" t="s">
        <v>827</v>
      </c>
      <c r="E693" t="s">
        <v>830</v>
      </c>
      <c r="G693" s="26">
        <v>0.1944</v>
      </c>
      <c r="H693" s="27">
        <v>0</v>
      </c>
      <c r="I693" s="26">
        <v>0.1944</v>
      </c>
    </row>
    <row r="694" spans="2:9">
      <c r="B694" t="s">
        <v>65</v>
      </c>
      <c r="C694" t="s">
        <v>833</v>
      </c>
      <c r="D694" t="s">
        <v>827</v>
      </c>
      <c r="E694" t="s">
        <v>830</v>
      </c>
      <c r="G694" s="26">
        <v>0.1944</v>
      </c>
      <c r="H694" s="27">
        <v>0</v>
      </c>
      <c r="I694" s="26">
        <v>0.1944</v>
      </c>
    </row>
    <row r="695" spans="2:9">
      <c r="B695" t="s">
        <v>732</v>
      </c>
      <c r="C695" t="s">
        <v>833</v>
      </c>
      <c r="D695" t="s">
        <v>827</v>
      </c>
      <c r="E695" t="s">
        <v>830</v>
      </c>
      <c r="G695" s="26">
        <v>0.1944</v>
      </c>
      <c r="H695" s="27">
        <v>0</v>
      </c>
      <c r="I695" s="26">
        <v>0.1944</v>
      </c>
    </row>
    <row r="696" spans="2:9">
      <c r="B696" t="s">
        <v>524</v>
      </c>
      <c r="C696" t="s">
        <v>833</v>
      </c>
      <c r="D696" t="s">
        <v>827</v>
      </c>
      <c r="E696" t="s">
        <v>830</v>
      </c>
      <c r="G696" s="26">
        <v>0.1944</v>
      </c>
      <c r="H696" s="27">
        <v>0</v>
      </c>
      <c r="I696" s="26">
        <v>0.1944</v>
      </c>
    </row>
    <row r="697" spans="2:9">
      <c r="B697" t="s">
        <v>672</v>
      </c>
      <c r="C697" t="s">
        <v>833</v>
      </c>
      <c r="D697" t="s">
        <v>827</v>
      </c>
      <c r="E697" t="s">
        <v>830</v>
      </c>
      <c r="G697" s="26">
        <v>0.1944</v>
      </c>
      <c r="H697" s="27">
        <v>0</v>
      </c>
      <c r="I697" s="26">
        <v>0.1944</v>
      </c>
    </row>
    <row r="698" spans="2:9">
      <c r="B698" t="s">
        <v>730</v>
      </c>
      <c r="C698" t="s">
        <v>833</v>
      </c>
      <c r="D698" t="s">
        <v>827</v>
      </c>
      <c r="E698" t="s">
        <v>830</v>
      </c>
      <c r="G698" s="26">
        <v>0.1944</v>
      </c>
      <c r="H698" s="27">
        <v>0</v>
      </c>
      <c r="I698" s="26">
        <v>0.1944</v>
      </c>
    </row>
    <row r="699" spans="2:9">
      <c r="B699" t="s">
        <v>805</v>
      </c>
      <c r="C699" t="s">
        <v>833</v>
      </c>
      <c r="D699" t="s">
        <v>827</v>
      </c>
      <c r="E699" t="s">
        <v>830</v>
      </c>
      <c r="G699" s="26">
        <v>0.1944</v>
      </c>
      <c r="H699" s="27">
        <v>0</v>
      </c>
      <c r="I699" s="26">
        <v>0.1944</v>
      </c>
    </row>
    <row r="700" spans="2:9">
      <c r="B700" t="s">
        <v>698</v>
      </c>
      <c r="C700" t="s">
        <v>833</v>
      </c>
      <c r="D700" t="s">
        <v>827</v>
      </c>
      <c r="E700" t="s">
        <v>830</v>
      </c>
      <c r="G700" s="26">
        <v>0.1944</v>
      </c>
      <c r="H700" s="27">
        <v>0</v>
      </c>
      <c r="I700" s="26">
        <v>0.1944</v>
      </c>
    </row>
    <row r="701" spans="2:9">
      <c r="B701" t="s">
        <v>678</v>
      </c>
      <c r="C701" t="s">
        <v>833</v>
      </c>
      <c r="D701" t="s">
        <v>827</v>
      </c>
      <c r="E701" t="s">
        <v>830</v>
      </c>
      <c r="G701" s="26">
        <v>0.1944</v>
      </c>
      <c r="H701" s="27">
        <v>0</v>
      </c>
      <c r="I701" s="26">
        <v>0.1944</v>
      </c>
    </row>
    <row r="702" spans="2:9">
      <c r="B702" t="s">
        <v>614</v>
      </c>
      <c r="C702" t="s">
        <v>833</v>
      </c>
      <c r="D702" t="s">
        <v>827</v>
      </c>
      <c r="E702" t="s">
        <v>830</v>
      </c>
      <c r="G702" s="26">
        <v>0.1944</v>
      </c>
      <c r="H702" s="27">
        <v>0</v>
      </c>
      <c r="I702" s="26">
        <v>0.1944</v>
      </c>
    </row>
    <row r="703" spans="2:9">
      <c r="B703" t="s">
        <v>663</v>
      </c>
      <c r="C703" t="s">
        <v>833</v>
      </c>
      <c r="D703" t="s">
        <v>827</v>
      </c>
      <c r="E703" t="s">
        <v>830</v>
      </c>
      <c r="G703" s="26">
        <v>0.1944</v>
      </c>
      <c r="H703" s="27">
        <v>0</v>
      </c>
      <c r="I703" s="26">
        <v>0.1944</v>
      </c>
    </row>
    <row r="704" spans="2:9">
      <c r="B704" t="s">
        <v>551</v>
      </c>
      <c r="C704" t="s">
        <v>833</v>
      </c>
      <c r="D704" t="s">
        <v>827</v>
      </c>
      <c r="E704" t="s">
        <v>830</v>
      </c>
      <c r="G704" s="26">
        <v>0.1944</v>
      </c>
      <c r="H704" s="27">
        <v>0</v>
      </c>
      <c r="I704" s="26">
        <v>0.1944</v>
      </c>
    </row>
    <row r="705" spans="2:9">
      <c r="B705" t="s">
        <v>577</v>
      </c>
      <c r="C705" t="s">
        <v>833</v>
      </c>
      <c r="D705" t="s">
        <v>827</v>
      </c>
      <c r="E705" t="s">
        <v>830</v>
      </c>
      <c r="G705" s="26">
        <v>0.1944</v>
      </c>
      <c r="H705" s="27">
        <v>0</v>
      </c>
      <c r="I705" s="26">
        <v>0.1944</v>
      </c>
    </row>
    <row r="706" spans="2:9">
      <c r="B706" t="s">
        <v>666</v>
      </c>
      <c r="C706" t="s">
        <v>833</v>
      </c>
      <c r="D706" t="s">
        <v>827</v>
      </c>
      <c r="E706" t="s">
        <v>830</v>
      </c>
      <c r="G706" s="26">
        <v>0.1944</v>
      </c>
      <c r="H706" s="27">
        <v>0</v>
      </c>
      <c r="I706" s="26">
        <v>0.1944</v>
      </c>
    </row>
    <row r="707" spans="2:9">
      <c r="B707" t="s">
        <v>536</v>
      </c>
      <c r="C707" t="s">
        <v>833</v>
      </c>
      <c r="D707" t="s">
        <v>827</v>
      </c>
      <c r="E707" t="s">
        <v>830</v>
      </c>
      <c r="G707" s="26">
        <v>0.1944</v>
      </c>
      <c r="H707" s="27">
        <v>0</v>
      </c>
      <c r="I707" s="26">
        <v>0.1944</v>
      </c>
    </row>
    <row r="708" spans="2:9">
      <c r="B708" t="s">
        <v>598</v>
      </c>
      <c r="C708" t="s">
        <v>833</v>
      </c>
      <c r="D708" t="s">
        <v>827</v>
      </c>
      <c r="E708" t="s">
        <v>830</v>
      </c>
      <c r="G708" s="26">
        <v>0.1944</v>
      </c>
      <c r="H708" s="27">
        <v>0</v>
      </c>
      <c r="I708" s="26">
        <v>0.1944</v>
      </c>
    </row>
    <row r="709" spans="2:9">
      <c r="B709" t="s">
        <v>660</v>
      </c>
      <c r="C709" t="s">
        <v>833</v>
      </c>
      <c r="D709" t="s">
        <v>827</v>
      </c>
      <c r="E709" t="s">
        <v>830</v>
      </c>
      <c r="G709" s="26">
        <v>0.1944</v>
      </c>
      <c r="H709" s="27">
        <v>0</v>
      </c>
      <c r="I709" s="26">
        <v>0.1944</v>
      </c>
    </row>
    <row r="710" spans="2:9">
      <c r="B710" t="s">
        <v>619</v>
      </c>
      <c r="C710" t="s">
        <v>833</v>
      </c>
      <c r="D710" t="s">
        <v>827</v>
      </c>
      <c r="E710" t="s">
        <v>830</v>
      </c>
      <c r="G710" s="26">
        <v>0.1944</v>
      </c>
      <c r="H710" s="27">
        <v>0</v>
      </c>
      <c r="I710" s="26">
        <v>0.1944</v>
      </c>
    </row>
    <row r="711" spans="2:9">
      <c r="B711" t="s">
        <v>675</v>
      </c>
      <c r="C711" t="s">
        <v>833</v>
      </c>
      <c r="D711" t="s">
        <v>827</v>
      </c>
      <c r="E711" t="s">
        <v>830</v>
      </c>
      <c r="G711" s="26">
        <v>0.1944</v>
      </c>
      <c r="H711" s="27">
        <v>0</v>
      </c>
      <c r="I711" s="26">
        <v>0.1944</v>
      </c>
    </row>
    <row r="712" spans="2:9">
      <c r="B712" t="s">
        <v>561</v>
      </c>
      <c r="C712" t="s">
        <v>833</v>
      </c>
      <c r="D712" t="s">
        <v>827</v>
      </c>
      <c r="E712" t="s">
        <v>830</v>
      </c>
      <c r="G712" s="26">
        <v>0.1944</v>
      </c>
      <c r="H712" s="27">
        <v>0</v>
      </c>
      <c r="I712" s="26">
        <v>0.1944</v>
      </c>
    </row>
    <row r="713" spans="2:9">
      <c r="B713" t="s">
        <v>629</v>
      </c>
      <c r="C713" t="s">
        <v>833</v>
      </c>
      <c r="D713" t="s">
        <v>827</v>
      </c>
      <c r="E713" t="s">
        <v>830</v>
      </c>
      <c r="G713" s="26">
        <v>0.1944</v>
      </c>
      <c r="H713" s="27">
        <v>0</v>
      </c>
      <c r="I713" s="26">
        <v>0.1944</v>
      </c>
    </row>
    <row r="714" spans="2:9">
      <c r="B714" t="s">
        <v>641</v>
      </c>
      <c r="C714" t="s">
        <v>833</v>
      </c>
      <c r="D714" t="s">
        <v>827</v>
      </c>
      <c r="E714" t="s">
        <v>830</v>
      </c>
      <c r="G714" s="26">
        <v>0.1944</v>
      </c>
      <c r="H714" s="27">
        <v>0</v>
      </c>
      <c r="I714" s="26">
        <v>0.1944</v>
      </c>
    </row>
    <row r="715" spans="2:9">
      <c r="B715" t="s">
        <v>689</v>
      </c>
      <c r="C715" t="s">
        <v>833</v>
      </c>
      <c r="D715" t="s">
        <v>827</v>
      </c>
      <c r="E715" t="s">
        <v>830</v>
      </c>
      <c r="G715" s="26">
        <v>0.1944</v>
      </c>
      <c r="H715" s="27">
        <v>0</v>
      </c>
      <c r="I715" s="26">
        <v>0.1944</v>
      </c>
    </row>
    <row r="716" spans="2:9">
      <c r="B716" t="s">
        <v>530</v>
      </c>
      <c r="C716" t="s">
        <v>833</v>
      </c>
      <c r="D716" t="s">
        <v>827</v>
      </c>
      <c r="E716" t="s">
        <v>830</v>
      </c>
      <c r="G716" s="26">
        <v>0.1944</v>
      </c>
      <c r="H716" s="27">
        <v>0</v>
      </c>
      <c r="I716" s="26">
        <v>0.1944</v>
      </c>
    </row>
    <row r="717" spans="2:9">
      <c r="B717" t="s">
        <v>42</v>
      </c>
      <c r="C717" t="s">
        <v>833</v>
      </c>
      <c r="D717" t="s">
        <v>827</v>
      </c>
      <c r="E717" t="s">
        <v>830</v>
      </c>
      <c r="G717" s="26">
        <v>0.1944</v>
      </c>
      <c r="H717" s="27">
        <v>0</v>
      </c>
      <c r="I717" s="26">
        <v>0.1944</v>
      </c>
    </row>
    <row r="718" spans="2:9">
      <c r="B718" t="s">
        <v>543</v>
      </c>
      <c r="C718" t="s">
        <v>833</v>
      </c>
      <c r="D718" t="s">
        <v>827</v>
      </c>
      <c r="E718" t="s">
        <v>830</v>
      </c>
      <c r="G718" s="26">
        <v>0.1944</v>
      </c>
      <c r="H718" s="27">
        <v>0</v>
      </c>
      <c r="I718" s="26">
        <v>0.1944</v>
      </c>
    </row>
    <row r="719" spans="2:9">
      <c r="B719" t="s">
        <v>635</v>
      </c>
      <c r="C719" t="s">
        <v>833</v>
      </c>
      <c r="D719" t="s">
        <v>827</v>
      </c>
      <c r="E719" t="s">
        <v>830</v>
      </c>
      <c r="G719" s="26">
        <v>0.1944</v>
      </c>
      <c r="H719" s="27">
        <v>0</v>
      </c>
      <c r="I719" s="26">
        <v>0.1944</v>
      </c>
    </row>
    <row r="720" spans="2:9">
      <c r="B720" t="s">
        <v>540</v>
      </c>
      <c r="C720" t="s">
        <v>833</v>
      </c>
      <c r="D720" t="s">
        <v>827</v>
      </c>
      <c r="E720" t="s">
        <v>830</v>
      </c>
      <c r="G720" s="26">
        <v>0.1944</v>
      </c>
      <c r="H720" s="27">
        <v>0</v>
      </c>
      <c r="I720" s="26">
        <v>0.1944</v>
      </c>
    </row>
    <row r="721" spans="2:9">
      <c r="B721" t="s">
        <v>545</v>
      </c>
      <c r="C721" t="s">
        <v>833</v>
      </c>
      <c r="D721" t="s">
        <v>827</v>
      </c>
      <c r="E721" t="s">
        <v>830</v>
      </c>
      <c r="G721" s="26">
        <v>0.1944</v>
      </c>
      <c r="H721" s="27">
        <v>0</v>
      </c>
      <c r="I721" s="26">
        <v>0.1944</v>
      </c>
    </row>
    <row r="722" spans="2:9">
      <c r="B722" t="s">
        <v>770</v>
      </c>
      <c r="C722" t="s">
        <v>833</v>
      </c>
      <c r="D722" t="s">
        <v>827</v>
      </c>
      <c r="E722" t="s">
        <v>830</v>
      </c>
      <c r="G722" s="26">
        <v>0.1944</v>
      </c>
      <c r="H722" s="27">
        <v>0</v>
      </c>
      <c r="I722" s="26">
        <v>0.1944</v>
      </c>
    </row>
    <row r="723" spans="2:9">
      <c r="B723" t="s">
        <v>630</v>
      </c>
      <c r="C723" t="s">
        <v>833</v>
      </c>
      <c r="D723" t="s">
        <v>827</v>
      </c>
      <c r="E723" t="s">
        <v>830</v>
      </c>
      <c r="G723" s="26">
        <v>0.1944</v>
      </c>
      <c r="H723" s="27">
        <v>0</v>
      </c>
      <c r="I723" s="26">
        <v>0.1944</v>
      </c>
    </row>
    <row r="724" spans="2:9">
      <c r="B724" t="s">
        <v>546</v>
      </c>
      <c r="C724" t="s">
        <v>833</v>
      </c>
      <c r="D724" t="s">
        <v>827</v>
      </c>
      <c r="E724" t="s">
        <v>830</v>
      </c>
      <c r="G724" s="26">
        <v>0.1944</v>
      </c>
      <c r="H724" s="27">
        <v>0</v>
      </c>
      <c r="I724" s="26">
        <v>0.1944</v>
      </c>
    </row>
    <row r="725" spans="2:9">
      <c r="B725" t="s">
        <v>618</v>
      </c>
      <c r="C725" t="s">
        <v>833</v>
      </c>
      <c r="D725" t="s">
        <v>827</v>
      </c>
      <c r="E725" t="s">
        <v>830</v>
      </c>
      <c r="G725" s="26">
        <v>0.1944</v>
      </c>
      <c r="H725" s="27">
        <v>0</v>
      </c>
      <c r="I725" s="26">
        <v>0.1944</v>
      </c>
    </row>
    <row r="726" spans="2:9">
      <c r="B726" t="s">
        <v>557</v>
      </c>
      <c r="C726" t="s">
        <v>833</v>
      </c>
      <c r="D726" t="s">
        <v>827</v>
      </c>
      <c r="E726" t="s">
        <v>830</v>
      </c>
      <c r="G726" s="26">
        <v>0.1944</v>
      </c>
      <c r="H726" s="27">
        <v>0</v>
      </c>
      <c r="I726" s="26">
        <v>0.1944</v>
      </c>
    </row>
    <row r="727" spans="2:9">
      <c r="B727" t="s">
        <v>665</v>
      </c>
      <c r="C727" t="s">
        <v>833</v>
      </c>
      <c r="D727" t="s">
        <v>827</v>
      </c>
      <c r="E727" t="s">
        <v>830</v>
      </c>
      <c r="G727" s="26">
        <v>0.1944</v>
      </c>
      <c r="H727" s="27">
        <v>0</v>
      </c>
      <c r="I727" s="26">
        <v>0.1944</v>
      </c>
    </row>
    <row r="728" spans="2:9">
      <c r="B728" t="s">
        <v>701</v>
      </c>
      <c r="C728" t="s">
        <v>833</v>
      </c>
      <c r="D728" t="s">
        <v>827</v>
      </c>
      <c r="E728" t="s">
        <v>830</v>
      </c>
      <c r="G728" s="26">
        <v>0.1944</v>
      </c>
      <c r="H728" s="27">
        <v>0</v>
      </c>
      <c r="I728" s="26">
        <v>0.1944</v>
      </c>
    </row>
    <row r="729" spans="2:9">
      <c r="B729" t="s">
        <v>533</v>
      </c>
      <c r="C729" t="s">
        <v>833</v>
      </c>
      <c r="D729" t="s">
        <v>827</v>
      </c>
      <c r="E729" t="s">
        <v>830</v>
      </c>
      <c r="G729" s="26">
        <v>0.1944</v>
      </c>
      <c r="H729" s="27">
        <v>0</v>
      </c>
      <c r="I729" s="26">
        <v>0.1944</v>
      </c>
    </row>
    <row r="730" spans="2:9">
      <c r="B730" t="s">
        <v>702</v>
      </c>
      <c r="C730" t="s">
        <v>833</v>
      </c>
      <c r="D730" t="s">
        <v>827</v>
      </c>
      <c r="E730" t="s">
        <v>830</v>
      </c>
      <c r="G730" s="26">
        <v>0.1944</v>
      </c>
      <c r="H730" s="27">
        <v>0</v>
      </c>
      <c r="I730" s="26">
        <v>0.1944</v>
      </c>
    </row>
    <row r="731" spans="2:9">
      <c r="B731" t="s">
        <v>604</v>
      </c>
      <c r="C731" t="s">
        <v>833</v>
      </c>
      <c r="D731" t="s">
        <v>827</v>
      </c>
      <c r="E731" t="s">
        <v>830</v>
      </c>
      <c r="G731" s="26">
        <v>0.1944</v>
      </c>
      <c r="H731" s="27">
        <v>0</v>
      </c>
      <c r="I731" s="26">
        <v>0.1944</v>
      </c>
    </row>
    <row r="732" spans="2:9">
      <c r="B732" t="s">
        <v>602</v>
      </c>
      <c r="C732" t="s">
        <v>833</v>
      </c>
      <c r="D732" t="s">
        <v>827</v>
      </c>
      <c r="E732" t="s">
        <v>830</v>
      </c>
      <c r="G732" s="26">
        <v>0.1944</v>
      </c>
      <c r="H732" s="27">
        <v>0</v>
      </c>
      <c r="I732" s="26">
        <v>0.1944</v>
      </c>
    </row>
    <row r="733" spans="2:9">
      <c r="B733" t="s">
        <v>501</v>
      </c>
      <c r="C733" t="s">
        <v>833</v>
      </c>
      <c r="D733" t="s">
        <v>827</v>
      </c>
      <c r="E733" t="s">
        <v>830</v>
      </c>
      <c r="G733" s="26">
        <v>0.1944</v>
      </c>
      <c r="H733" s="27">
        <v>0</v>
      </c>
      <c r="I733" s="26">
        <v>0.1944</v>
      </c>
    </row>
    <row r="734" spans="2:9">
      <c r="B734" t="s">
        <v>776</v>
      </c>
      <c r="C734" t="s">
        <v>833</v>
      </c>
      <c r="D734" t="s">
        <v>827</v>
      </c>
      <c r="E734" t="s">
        <v>830</v>
      </c>
      <c r="G734" s="26">
        <v>0.1944</v>
      </c>
      <c r="H734" s="27">
        <v>0</v>
      </c>
      <c r="I734" s="26">
        <v>0.1944</v>
      </c>
    </row>
    <row r="735" spans="2:9">
      <c r="B735" t="s">
        <v>628</v>
      </c>
      <c r="C735" t="s">
        <v>826</v>
      </c>
      <c r="D735" t="s">
        <v>827</v>
      </c>
      <c r="E735" t="s">
        <v>830</v>
      </c>
      <c r="G735" s="26">
        <v>0.19404</v>
      </c>
      <c r="H735" s="27">
        <v>0</v>
      </c>
      <c r="I735" s="26">
        <v>0.19404</v>
      </c>
    </row>
    <row r="736" spans="2:9">
      <c r="B736" t="s">
        <v>64</v>
      </c>
      <c r="C736" t="s">
        <v>833</v>
      </c>
      <c r="D736" t="s">
        <v>827</v>
      </c>
      <c r="E736" t="s">
        <v>830</v>
      </c>
      <c r="G736" s="26">
        <v>0.1944</v>
      </c>
      <c r="H736" s="27">
        <v>0.00072</v>
      </c>
      <c r="I736" s="26">
        <v>0.19368</v>
      </c>
    </row>
    <row r="737" spans="2:9">
      <c r="B737" t="s">
        <v>360</v>
      </c>
      <c r="C737" t="s">
        <v>829</v>
      </c>
      <c r="D737" t="s">
        <v>827</v>
      </c>
      <c r="E737" t="s">
        <v>830</v>
      </c>
      <c r="G737" s="26">
        <v>10.191246</v>
      </c>
      <c r="H737" s="27">
        <v>10</v>
      </c>
      <c r="I737" s="26">
        <v>0.191246</v>
      </c>
    </row>
    <row r="738" spans="2:9">
      <c r="B738" t="s">
        <v>380</v>
      </c>
      <c r="C738" t="s">
        <v>826</v>
      </c>
      <c r="D738" t="s">
        <v>827</v>
      </c>
      <c r="E738" t="s">
        <v>830</v>
      </c>
      <c r="G738" s="26">
        <v>0.19106</v>
      </c>
      <c r="H738" s="27">
        <v>0</v>
      </c>
      <c r="I738" s="26">
        <v>0.19106</v>
      </c>
    </row>
    <row r="739" spans="2:9">
      <c r="B739" t="s">
        <v>547</v>
      </c>
      <c r="C739" t="s">
        <v>833</v>
      </c>
      <c r="D739" t="s">
        <v>827</v>
      </c>
      <c r="E739" t="s">
        <v>830</v>
      </c>
      <c r="G739" s="26">
        <v>0.1944</v>
      </c>
      <c r="H739" s="27">
        <v>0.00387</v>
      </c>
      <c r="I739" s="26">
        <v>0.19053</v>
      </c>
    </row>
    <row r="740" spans="2:9">
      <c r="B740" t="s">
        <v>774</v>
      </c>
      <c r="C740" t="s">
        <v>833</v>
      </c>
      <c r="D740" t="s">
        <v>827</v>
      </c>
      <c r="E740" t="s">
        <v>830</v>
      </c>
      <c r="G740" s="26">
        <v>0.1944</v>
      </c>
      <c r="H740" s="27">
        <v>0.00486</v>
      </c>
      <c r="I740" s="26">
        <v>0.18954</v>
      </c>
    </row>
    <row r="741" spans="2:9">
      <c r="B741" t="s">
        <v>797</v>
      </c>
      <c r="C741" t="s">
        <v>833</v>
      </c>
      <c r="D741" t="s">
        <v>827</v>
      </c>
      <c r="E741" t="s">
        <v>830</v>
      </c>
      <c r="G741" s="26">
        <v>0.1944</v>
      </c>
      <c r="H741" s="26">
        <v>0.005355</v>
      </c>
      <c r="I741" s="26">
        <v>0.189045</v>
      </c>
    </row>
    <row r="742" spans="2:9">
      <c r="B742" t="s">
        <v>85</v>
      </c>
      <c r="C742" t="s">
        <v>833</v>
      </c>
      <c r="D742" t="s">
        <v>827</v>
      </c>
      <c r="E742" t="s">
        <v>830</v>
      </c>
      <c r="G742" s="26">
        <v>0.1944</v>
      </c>
      <c r="H742" s="26">
        <v>0.00558</v>
      </c>
      <c r="I742" s="26">
        <v>0.18882</v>
      </c>
    </row>
    <row r="743" spans="2:9">
      <c r="B743" t="s">
        <v>62</v>
      </c>
      <c r="C743" t="s">
        <v>833</v>
      </c>
      <c r="D743" t="s">
        <v>827</v>
      </c>
      <c r="E743" t="s">
        <v>830</v>
      </c>
      <c r="G743" s="26">
        <v>0.1944</v>
      </c>
      <c r="H743" s="26">
        <v>0.00558</v>
      </c>
      <c r="I743" s="26">
        <v>0.18882</v>
      </c>
    </row>
    <row r="744" spans="2:9">
      <c r="B744" t="s">
        <v>92</v>
      </c>
      <c r="C744" t="s">
        <v>833</v>
      </c>
      <c r="D744" t="s">
        <v>827</v>
      </c>
      <c r="E744" t="s">
        <v>830</v>
      </c>
      <c r="G744" s="26">
        <v>0.1944</v>
      </c>
      <c r="H744" s="26">
        <v>0.0063</v>
      </c>
      <c r="I744" s="26">
        <v>0.1881</v>
      </c>
    </row>
    <row r="745" spans="2:9">
      <c r="B745" t="s">
        <v>275</v>
      </c>
      <c r="C745" t="s">
        <v>826</v>
      </c>
      <c r="D745" t="s">
        <v>827</v>
      </c>
      <c r="E745" t="s">
        <v>830</v>
      </c>
      <c r="G745" s="26">
        <v>0.187332</v>
      </c>
      <c r="H745" s="27">
        <v>0</v>
      </c>
      <c r="I745" s="26">
        <v>0.187332</v>
      </c>
    </row>
    <row r="746" spans="2:9">
      <c r="B746" t="s">
        <v>365</v>
      </c>
      <c r="C746" t="s">
        <v>829</v>
      </c>
      <c r="D746" t="s">
        <v>827</v>
      </c>
      <c r="E746" t="s">
        <v>830</v>
      </c>
      <c r="G746" s="26">
        <v>0.18407</v>
      </c>
      <c r="H746" s="27">
        <v>0</v>
      </c>
      <c r="I746" s="26">
        <v>0.18407</v>
      </c>
    </row>
    <row r="747" spans="2:9">
      <c r="B747" t="s">
        <v>147</v>
      </c>
      <c r="C747" t="s">
        <v>826</v>
      </c>
      <c r="D747" t="s">
        <v>827</v>
      </c>
      <c r="E747" t="s">
        <v>830</v>
      </c>
      <c r="G747" s="26">
        <v>0.183216</v>
      </c>
      <c r="H747" s="27">
        <v>0</v>
      </c>
      <c r="I747" s="26">
        <v>0.183216</v>
      </c>
    </row>
    <row r="748" spans="2:9">
      <c r="B748" t="s">
        <v>270</v>
      </c>
      <c r="C748" t="s">
        <v>829</v>
      </c>
      <c r="D748" t="s">
        <v>827</v>
      </c>
      <c r="E748" t="s">
        <v>830</v>
      </c>
      <c r="G748" s="26">
        <v>0.178478</v>
      </c>
      <c r="H748" s="27">
        <v>0</v>
      </c>
      <c r="I748" s="26">
        <v>0.178478</v>
      </c>
    </row>
    <row r="749" spans="2:9">
      <c r="B749" t="s">
        <v>279</v>
      </c>
      <c r="C749" t="s">
        <v>829</v>
      </c>
      <c r="D749" t="s">
        <v>827</v>
      </c>
      <c r="E749" t="s">
        <v>830</v>
      </c>
      <c r="G749" s="26">
        <v>10.178372</v>
      </c>
      <c r="H749" s="27">
        <v>10</v>
      </c>
      <c r="I749" s="26">
        <v>0.178372</v>
      </c>
    </row>
    <row r="750" spans="2:9">
      <c r="B750" t="s">
        <v>386</v>
      </c>
      <c r="C750" t="s">
        <v>826</v>
      </c>
      <c r="D750" t="s">
        <v>827</v>
      </c>
      <c r="E750" t="s">
        <v>830</v>
      </c>
      <c r="G750" s="26">
        <v>0.177546</v>
      </c>
      <c r="H750" s="27">
        <v>0</v>
      </c>
      <c r="I750" s="26">
        <v>0.177546</v>
      </c>
    </row>
    <row r="751" spans="2:9">
      <c r="B751" t="s">
        <v>426</v>
      </c>
      <c r="C751" t="s">
        <v>826</v>
      </c>
      <c r="D751" t="s">
        <v>827</v>
      </c>
      <c r="E751" t="s">
        <v>830</v>
      </c>
      <c r="G751" s="26">
        <v>0.17708</v>
      </c>
      <c r="H751" s="27">
        <v>0</v>
      </c>
      <c r="I751" s="26">
        <v>0.17708</v>
      </c>
    </row>
    <row r="752" spans="2:9">
      <c r="B752" t="s">
        <v>190</v>
      </c>
      <c r="C752" t="s">
        <v>826</v>
      </c>
      <c r="D752" t="s">
        <v>827</v>
      </c>
      <c r="E752" t="s">
        <v>830</v>
      </c>
      <c r="G752" s="26">
        <v>0.17708</v>
      </c>
      <c r="H752" s="27">
        <v>0</v>
      </c>
      <c r="I752" s="26">
        <v>0.17708</v>
      </c>
    </row>
    <row r="753" spans="2:9">
      <c r="B753" t="s">
        <v>215</v>
      </c>
      <c r="C753" t="s">
        <v>826</v>
      </c>
      <c r="D753" t="s">
        <v>827</v>
      </c>
      <c r="E753" t="s">
        <v>830</v>
      </c>
      <c r="G753" s="26">
        <v>0.176148</v>
      </c>
      <c r="H753" s="27">
        <v>0</v>
      </c>
      <c r="I753" s="26">
        <v>0.176148</v>
      </c>
    </row>
    <row r="754" spans="2:9">
      <c r="B754" t="s">
        <v>364</v>
      </c>
      <c r="C754" t="s">
        <v>826</v>
      </c>
      <c r="D754" t="s">
        <v>827</v>
      </c>
      <c r="E754" t="s">
        <v>830</v>
      </c>
      <c r="G754" s="26">
        <v>0.17475</v>
      </c>
      <c r="H754" s="27">
        <v>0</v>
      </c>
      <c r="I754" s="26">
        <v>0.17475</v>
      </c>
    </row>
    <row r="755" spans="2:9">
      <c r="B755" t="s">
        <v>12</v>
      </c>
      <c r="C755" t="s">
        <v>829</v>
      </c>
      <c r="D755" t="s">
        <v>827</v>
      </c>
      <c r="E755" t="s">
        <v>830</v>
      </c>
      <c r="G755" s="26">
        <v>0.170556</v>
      </c>
      <c r="H755" s="27">
        <v>0</v>
      </c>
      <c r="I755" s="26">
        <v>0.170556</v>
      </c>
    </row>
    <row r="756" spans="2:9">
      <c r="B756" t="s">
        <v>269</v>
      </c>
      <c r="C756" t="s">
        <v>829</v>
      </c>
      <c r="D756" t="s">
        <v>827</v>
      </c>
      <c r="E756" t="s">
        <v>830</v>
      </c>
      <c r="G756" s="26">
        <v>0.169624</v>
      </c>
      <c r="H756" s="27">
        <v>0</v>
      </c>
      <c r="I756" s="26">
        <v>0.169624</v>
      </c>
    </row>
    <row r="757" spans="2:9">
      <c r="B757" t="s">
        <v>728</v>
      </c>
      <c r="C757" t="s">
        <v>833</v>
      </c>
      <c r="D757" t="s">
        <v>827</v>
      </c>
      <c r="E757" t="s">
        <v>830</v>
      </c>
      <c r="G757" s="26">
        <v>0.169335</v>
      </c>
      <c r="H757" s="27">
        <v>0</v>
      </c>
      <c r="I757" s="26">
        <v>0.169335</v>
      </c>
    </row>
    <row r="758" spans="2:9">
      <c r="B758" t="s">
        <v>385</v>
      </c>
      <c r="C758" t="s">
        <v>829</v>
      </c>
      <c r="D758" t="s">
        <v>827</v>
      </c>
      <c r="E758" t="s">
        <v>830</v>
      </c>
      <c r="G758" s="26">
        <v>71.815198</v>
      </c>
      <c r="H758" s="26">
        <v>71.646807</v>
      </c>
      <c r="I758" s="26">
        <v>0.168391</v>
      </c>
    </row>
    <row r="759" spans="2:9">
      <c r="B759" t="s">
        <v>765</v>
      </c>
      <c r="C759" t="s">
        <v>826</v>
      </c>
      <c r="D759" t="s">
        <v>827</v>
      </c>
      <c r="E759" t="s">
        <v>830</v>
      </c>
      <c r="G759" s="26">
        <v>0.167294</v>
      </c>
      <c r="H759" s="27">
        <v>0</v>
      </c>
      <c r="I759" s="26">
        <v>0.167294</v>
      </c>
    </row>
    <row r="760" spans="2:9">
      <c r="B760" t="s">
        <v>438</v>
      </c>
      <c r="C760" t="s">
        <v>826</v>
      </c>
      <c r="D760" t="s">
        <v>827</v>
      </c>
      <c r="E760" t="s">
        <v>830</v>
      </c>
      <c r="G760" s="26">
        <v>0.166362</v>
      </c>
      <c r="H760" s="27">
        <v>0</v>
      </c>
      <c r="I760" s="26">
        <v>0.166362</v>
      </c>
    </row>
    <row r="761" spans="2:9">
      <c r="B761" t="s">
        <v>627</v>
      </c>
      <c r="C761" t="s">
        <v>826</v>
      </c>
      <c r="D761" t="s">
        <v>827</v>
      </c>
      <c r="E761" t="s">
        <v>830</v>
      </c>
      <c r="G761" s="26">
        <v>0.165896</v>
      </c>
      <c r="H761" s="27">
        <v>0</v>
      </c>
      <c r="I761" s="26">
        <v>0.165896</v>
      </c>
    </row>
    <row r="762" spans="2:9">
      <c r="B762" t="s">
        <v>718</v>
      </c>
      <c r="C762" t="s">
        <v>829</v>
      </c>
      <c r="D762" t="s">
        <v>827</v>
      </c>
      <c r="E762" t="s">
        <v>830</v>
      </c>
      <c r="G762" s="26">
        <v>0.16543</v>
      </c>
      <c r="H762" s="27">
        <v>0</v>
      </c>
      <c r="I762" s="26">
        <v>0.16543</v>
      </c>
    </row>
    <row r="763" spans="2:9">
      <c r="B763" t="s">
        <v>381</v>
      </c>
      <c r="C763" t="s">
        <v>826</v>
      </c>
      <c r="D763" t="s">
        <v>827</v>
      </c>
      <c r="E763" t="s">
        <v>830</v>
      </c>
      <c r="G763" s="26">
        <v>0.164964</v>
      </c>
      <c r="H763" s="27">
        <v>0</v>
      </c>
      <c r="I763" s="26">
        <v>0.164964</v>
      </c>
    </row>
    <row r="764" spans="2:9">
      <c r="B764" t="s">
        <v>428</v>
      </c>
      <c r="C764" t="s">
        <v>826</v>
      </c>
      <c r="D764" t="s">
        <v>827</v>
      </c>
      <c r="E764" t="s">
        <v>830</v>
      </c>
      <c r="G764" s="26">
        <v>0.164498</v>
      </c>
      <c r="H764" s="27">
        <v>0</v>
      </c>
      <c r="I764" s="26">
        <v>0.164498</v>
      </c>
    </row>
    <row r="765" spans="2:9">
      <c r="B765" t="s">
        <v>457</v>
      </c>
      <c r="C765" t="s">
        <v>826</v>
      </c>
      <c r="D765" t="s">
        <v>827</v>
      </c>
      <c r="E765" t="s">
        <v>830</v>
      </c>
      <c r="G765" s="26">
        <v>0.163566</v>
      </c>
      <c r="H765" s="27">
        <v>0</v>
      </c>
      <c r="I765" s="26">
        <v>0.163566</v>
      </c>
    </row>
    <row r="766" spans="2:9">
      <c r="B766" t="s">
        <v>336</v>
      </c>
      <c r="C766" t="s">
        <v>826</v>
      </c>
      <c r="D766" t="s">
        <v>827</v>
      </c>
      <c r="E766" t="s">
        <v>830</v>
      </c>
      <c r="G766" s="26">
        <v>0.161702</v>
      </c>
      <c r="H766" s="27">
        <v>0</v>
      </c>
      <c r="I766" s="26">
        <v>0.161702</v>
      </c>
    </row>
    <row r="767" spans="2:9">
      <c r="B767" t="s">
        <v>371</v>
      </c>
      <c r="C767" t="s">
        <v>829</v>
      </c>
      <c r="D767" t="s">
        <v>827</v>
      </c>
      <c r="E767" t="s">
        <v>830</v>
      </c>
      <c r="G767" s="26">
        <v>0.158906</v>
      </c>
      <c r="H767" s="27">
        <v>0</v>
      </c>
      <c r="I767" s="26">
        <v>0.158906</v>
      </c>
    </row>
    <row r="768" spans="2:9">
      <c r="B768" t="s">
        <v>320</v>
      </c>
      <c r="C768" t="s">
        <v>826</v>
      </c>
      <c r="D768" t="s">
        <v>827</v>
      </c>
      <c r="E768" t="s">
        <v>830</v>
      </c>
      <c r="G768" s="26">
        <v>0.158906</v>
      </c>
      <c r="H768" s="27">
        <v>0</v>
      </c>
      <c r="I768" s="26">
        <v>0.158906</v>
      </c>
    </row>
    <row r="769" spans="2:9">
      <c r="B769" t="s">
        <v>335</v>
      </c>
      <c r="C769" t="s">
        <v>829</v>
      </c>
      <c r="D769" t="s">
        <v>827</v>
      </c>
      <c r="E769" t="s">
        <v>830</v>
      </c>
      <c r="G769" s="26">
        <v>0.156576</v>
      </c>
      <c r="H769" s="27">
        <v>0</v>
      </c>
      <c r="I769" s="26">
        <v>0.156576</v>
      </c>
    </row>
    <row r="770" spans="2:9">
      <c r="B770" t="s">
        <v>301</v>
      </c>
      <c r="C770" t="s">
        <v>834</v>
      </c>
      <c r="D770" t="s">
        <v>827</v>
      </c>
      <c r="E770" t="s">
        <v>830</v>
      </c>
      <c r="G770" s="26">
        <v>7.656207</v>
      </c>
      <c r="H770" s="26">
        <v>7.5</v>
      </c>
      <c r="I770" s="26">
        <v>0.156207</v>
      </c>
    </row>
    <row r="771" spans="2:9">
      <c r="B771" t="s">
        <v>753</v>
      </c>
      <c r="C771" t="s">
        <v>829</v>
      </c>
      <c r="D771" t="s">
        <v>827</v>
      </c>
      <c r="E771" t="s">
        <v>830</v>
      </c>
      <c r="G771" s="26">
        <v>0.15611</v>
      </c>
      <c r="H771" s="27">
        <v>0</v>
      </c>
      <c r="I771" s="26">
        <v>0.15611</v>
      </c>
    </row>
    <row r="772" spans="2:9">
      <c r="B772" t="s">
        <v>431</v>
      </c>
      <c r="C772" t="s">
        <v>826</v>
      </c>
      <c r="D772" t="s">
        <v>827</v>
      </c>
      <c r="E772" t="s">
        <v>830</v>
      </c>
      <c r="G772" s="26">
        <v>0.154712</v>
      </c>
      <c r="H772" s="27">
        <v>0</v>
      </c>
      <c r="I772" s="26">
        <v>0.154712</v>
      </c>
    </row>
    <row r="773" spans="2:9">
      <c r="B773" t="s">
        <v>219</v>
      </c>
      <c r="C773" t="s">
        <v>829</v>
      </c>
      <c r="D773" t="s">
        <v>827</v>
      </c>
      <c r="E773" t="s">
        <v>830</v>
      </c>
      <c r="G773" s="26">
        <v>0.154246</v>
      </c>
      <c r="H773" s="27">
        <v>0</v>
      </c>
      <c r="I773" s="26">
        <v>0.154246</v>
      </c>
    </row>
    <row r="774" spans="2:9">
      <c r="B774" t="s">
        <v>406</v>
      </c>
      <c r="C774" t="s">
        <v>826</v>
      </c>
      <c r="D774" t="s">
        <v>827</v>
      </c>
      <c r="E774" t="s">
        <v>830</v>
      </c>
      <c r="G774" s="26">
        <v>0.151916</v>
      </c>
      <c r="H774" s="27">
        <v>0</v>
      </c>
      <c r="I774" s="26">
        <v>0.151916</v>
      </c>
    </row>
    <row r="775" spans="2:9">
      <c r="B775" t="s">
        <v>799</v>
      </c>
      <c r="C775" t="s">
        <v>826</v>
      </c>
      <c r="D775" t="s">
        <v>827</v>
      </c>
      <c r="E775" t="s">
        <v>830</v>
      </c>
      <c r="G775" s="26">
        <v>0.15145</v>
      </c>
      <c r="H775" s="27">
        <v>0</v>
      </c>
      <c r="I775" s="26">
        <v>0.15145</v>
      </c>
    </row>
    <row r="776" spans="2:9">
      <c r="B776" t="s">
        <v>263</v>
      </c>
      <c r="C776" t="s">
        <v>834</v>
      </c>
      <c r="D776" t="s">
        <v>827</v>
      </c>
      <c r="E776" t="s">
        <v>830</v>
      </c>
      <c r="G776" s="26">
        <v>0.150945</v>
      </c>
      <c r="H776" s="27">
        <v>0</v>
      </c>
      <c r="I776" s="26">
        <v>0.150945</v>
      </c>
    </row>
    <row r="777" spans="2:9">
      <c r="B777" t="s">
        <v>315</v>
      </c>
      <c r="C777" t="s">
        <v>826</v>
      </c>
      <c r="D777" t="s">
        <v>827</v>
      </c>
      <c r="E777" t="s">
        <v>830</v>
      </c>
      <c r="G777" s="26">
        <v>0.150052</v>
      </c>
      <c r="H777" s="27">
        <v>0</v>
      </c>
      <c r="I777" s="26">
        <v>0.150052</v>
      </c>
    </row>
    <row r="778" spans="2:9">
      <c r="B778" t="s">
        <v>53</v>
      </c>
      <c r="C778" t="s">
        <v>832</v>
      </c>
      <c r="D778" t="s">
        <v>827</v>
      </c>
      <c r="E778" t="s">
        <v>830</v>
      </c>
      <c r="G778" s="26">
        <v>0.14688</v>
      </c>
      <c r="H778" s="27">
        <v>0</v>
      </c>
      <c r="I778" s="26">
        <v>0.14688</v>
      </c>
    </row>
    <row r="779" spans="2:9">
      <c r="B779" t="s">
        <v>738</v>
      </c>
      <c r="C779" t="s">
        <v>832</v>
      </c>
      <c r="D779" t="s">
        <v>827</v>
      </c>
      <c r="E779" t="s">
        <v>830</v>
      </c>
      <c r="G779" s="26">
        <v>0.14688</v>
      </c>
      <c r="H779" s="27">
        <v>0</v>
      </c>
      <c r="I779" s="26">
        <v>0.14688</v>
      </c>
    </row>
    <row r="780" spans="2:9">
      <c r="B780" t="s">
        <v>663</v>
      </c>
      <c r="C780" t="s">
        <v>832</v>
      </c>
      <c r="D780" t="s">
        <v>827</v>
      </c>
      <c r="E780" t="s">
        <v>830</v>
      </c>
      <c r="G780" s="26">
        <v>0.14688</v>
      </c>
      <c r="H780" s="27">
        <v>0</v>
      </c>
      <c r="I780" s="26">
        <v>0.14688</v>
      </c>
    </row>
    <row r="781" spans="2:9">
      <c r="B781" t="s">
        <v>542</v>
      </c>
      <c r="C781" t="s">
        <v>832</v>
      </c>
      <c r="D781" t="s">
        <v>827</v>
      </c>
      <c r="E781" t="s">
        <v>830</v>
      </c>
      <c r="G781" s="26">
        <v>0.14688</v>
      </c>
      <c r="H781" s="27">
        <v>0</v>
      </c>
      <c r="I781" s="26">
        <v>0.14688</v>
      </c>
    </row>
    <row r="782" spans="2:9">
      <c r="B782" t="s">
        <v>712</v>
      </c>
      <c r="C782" t="s">
        <v>832</v>
      </c>
      <c r="D782" t="s">
        <v>827</v>
      </c>
      <c r="E782" t="s">
        <v>830</v>
      </c>
      <c r="G782" s="26">
        <v>0.14688</v>
      </c>
      <c r="H782" s="27">
        <v>0</v>
      </c>
      <c r="I782" s="26">
        <v>0.14688</v>
      </c>
    </row>
    <row r="783" spans="2:9">
      <c r="B783" t="s">
        <v>522</v>
      </c>
      <c r="C783" t="s">
        <v>832</v>
      </c>
      <c r="D783" t="s">
        <v>827</v>
      </c>
      <c r="E783" t="s">
        <v>830</v>
      </c>
      <c r="G783" s="26">
        <v>0.14688</v>
      </c>
      <c r="H783" s="27">
        <v>0</v>
      </c>
      <c r="I783" s="26">
        <v>0.14688</v>
      </c>
    </row>
    <row r="784" spans="2:9">
      <c r="B784" t="s">
        <v>638</v>
      </c>
      <c r="C784" t="s">
        <v>832</v>
      </c>
      <c r="D784" t="s">
        <v>827</v>
      </c>
      <c r="E784" t="s">
        <v>830</v>
      </c>
      <c r="G784" s="26">
        <v>0.14688</v>
      </c>
      <c r="H784" s="27">
        <v>0</v>
      </c>
      <c r="I784" s="26">
        <v>0.14688</v>
      </c>
    </row>
    <row r="785" spans="2:9">
      <c r="B785" t="s">
        <v>535</v>
      </c>
      <c r="C785" t="s">
        <v>833</v>
      </c>
      <c r="D785" t="s">
        <v>827</v>
      </c>
      <c r="E785" t="s">
        <v>830</v>
      </c>
      <c r="G785" s="26">
        <v>0.15021</v>
      </c>
      <c r="H785" s="27">
        <v>0.004095</v>
      </c>
      <c r="I785" s="26">
        <v>0.146115</v>
      </c>
    </row>
    <row r="786" spans="2:9">
      <c r="B786" t="s">
        <v>547</v>
      </c>
      <c r="C786" t="s">
        <v>832</v>
      </c>
      <c r="D786" t="s">
        <v>827</v>
      </c>
      <c r="E786" t="s">
        <v>830</v>
      </c>
      <c r="G786" s="26">
        <v>0.14688</v>
      </c>
      <c r="H786" s="27">
        <v>0.002924</v>
      </c>
      <c r="I786" s="26">
        <v>0.143956</v>
      </c>
    </row>
    <row r="787" spans="2:9">
      <c r="B787" t="s">
        <v>232</v>
      </c>
      <c r="C787" t="s">
        <v>829</v>
      </c>
      <c r="D787" t="s">
        <v>827</v>
      </c>
      <c r="E787" t="s">
        <v>830</v>
      </c>
      <c r="G787" s="26">
        <v>0.142596</v>
      </c>
      <c r="H787" s="27">
        <v>0</v>
      </c>
      <c r="I787" s="26">
        <v>0.142596</v>
      </c>
    </row>
    <row r="788" spans="2:9">
      <c r="B788" t="s">
        <v>23</v>
      </c>
      <c r="C788" t="s">
        <v>832</v>
      </c>
      <c r="D788" t="s">
        <v>827</v>
      </c>
      <c r="E788" t="s">
        <v>830</v>
      </c>
      <c r="G788" s="26">
        <v>0.14688</v>
      </c>
      <c r="H788" s="27">
        <v>0.004556</v>
      </c>
      <c r="I788" s="26">
        <v>0.142324</v>
      </c>
    </row>
    <row r="789" spans="2:9">
      <c r="B789" t="s">
        <v>377</v>
      </c>
      <c r="C789" t="s">
        <v>829</v>
      </c>
      <c r="D789" t="s">
        <v>827</v>
      </c>
      <c r="E789" t="s">
        <v>830</v>
      </c>
      <c r="G789" s="26">
        <v>0.141198</v>
      </c>
      <c r="H789" s="27">
        <v>0</v>
      </c>
      <c r="I789" s="26">
        <v>0.141198</v>
      </c>
    </row>
    <row r="790" spans="2:9">
      <c r="B790" t="s">
        <v>713</v>
      </c>
      <c r="C790" t="s">
        <v>834</v>
      </c>
      <c r="D790" t="s">
        <v>827</v>
      </c>
      <c r="E790" t="s">
        <v>830</v>
      </c>
      <c r="G790" s="26">
        <v>3.8952</v>
      </c>
      <c r="H790" s="26">
        <v>3.755446</v>
      </c>
      <c r="I790" s="26">
        <v>0.139754</v>
      </c>
    </row>
    <row r="791" spans="2:9">
      <c r="B791" t="s">
        <v>25</v>
      </c>
      <c r="C791" t="s">
        <v>829</v>
      </c>
      <c r="D791" t="s">
        <v>827</v>
      </c>
      <c r="E791" t="s">
        <v>830</v>
      </c>
      <c r="G791" s="26">
        <v>0.139608</v>
      </c>
      <c r="H791" s="27">
        <v>0</v>
      </c>
      <c r="I791" s="26">
        <v>0.139608</v>
      </c>
    </row>
    <row r="792" spans="2:9">
      <c r="B792" t="s">
        <v>704</v>
      </c>
      <c r="C792" t="s">
        <v>833</v>
      </c>
      <c r="D792" t="s">
        <v>827</v>
      </c>
      <c r="E792" t="s">
        <v>830</v>
      </c>
      <c r="G792" s="26">
        <v>0.13932</v>
      </c>
      <c r="H792" s="27">
        <v>0</v>
      </c>
      <c r="I792" s="26">
        <v>0.13932</v>
      </c>
    </row>
    <row r="793" spans="2:9">
      <c r="B793" t="s">
        <v>467</v>
      </c>
      <c r="C793" t="s">
        <v>826</v>
      </c>
      <c r="D793" t="s">
        <v>827</v>
      </c>
      <c r="E793" t="s">
        <v>830</v>
      </c>
      <c r="G793" s="26">
        <v>0.138402</v>
      </c>
      <c r="H793" s="27">
        <v>0</v>
      </c>
      <c r="I793" s="26">
        <v>0.138402</v>
      </c>
    </row>
    <row r="794" spans="2:9">
      <c r="B794" t="s">
        <v>447</v>
      </c>
      <c r="C794" t="s">
        <v>826</v>
      </c>
      <c r="D794" t="s">
        <v>827</v>
      </c>
      <c r="E794" t="s">
        <v>830</v>
      </c>
      <c r="G794" s="26">
        <v>0.136538</v>
      </c>
      <c r="H794" s="27">
        <v>0</v>
      </c>
      <c r="I794" s="26">
        <v>0.136538</v>
      </c>
    </row>
    <row r="795" spans="2:9">
      <c r="B795" t="s">
        <v>237</v>
      </c>
      <c r="C795" t="s">
        <v>826</v>
      </c>
      <c r="D795" t="s">
        <v>827</v>
      </c>
      <c r="E795" t="s">
        <v>830</v>
      </c>
      <c r="G795" s="26">
        <v>0.135606</v>
      </c>
      <c r="H795" s="27">
        <v>0</v>
      </c>
      <c r="I795" s="26">
        <v>0.135606</v>
      </c>
    </row>
    <row r="796" spans="2:9">
      <c r="B796" t="s">
        <v>735</v>
      </c>
      <c r="C796" t="s">
        <v>834</v>
      </c>
      <c r="D796" t="s">
        <v>827</v>
      </c>
      <c r="E796" t="s">
        <v>830</v>
      </c>
      <c r="G796" s="26">
        <v>0.24984</v>
      </c>
      <c r="H796" s="26">
        <v>0.118327</v>
      </c>
      <c r="I796" s="26">
        <v>0.131513</v>
      </c>
    </row>
    <row r="797" spans="2:9">
      <c r="B797" t="s">
        <v>711</v>
      </c>
      <c r="C797" t="s">
        <v>833</v>
      </c>
      <c r="D797" t="s">
        <v>827</v>
      </c>
      <c r="E797" t="s">
        <v>830</v>
      </c>
      <c r="G797" s="26">
        <v>0.128925</v>
      </c>
      <c r="H797" s="27">
        <v>0.003195</v>
      </c>
      <c r="I797" s="26">
        <v>0.12573</v>
      </c>
    </row>
    <row r="798" spans="2:9">
      <c r="B798" t="s">
        <v>687</v>
      </c>
      <c r="C798" t="s">
        <v>829</v>
      </c>
      <c r="D798" t="s">
        <v>827</v>
      </c>
      <c r="E798" t="s">
        <v>830</v>
      </c>
      <c r="G798" s="26">
        <v>0.122092</v>
      </c>
      <c r="H798" s="27">
        <v>0</v>
      </c>
      <c r="I798" s="26">
        <v>0.122092</v>
      </c>
    </row>
    <row r="799" spans="2:9">
      <c r="B799" t="s">
        <v>465</v>
      </c>
      <c r="C799" t="s">
        <v>829</v>
      </c>
      <c r="D799" t="s">
        <v>827</v>
      </c>
      <c r="E799" t="s">
        <v>830</v>
      </c>
      <c r="G799" s="26">
        <v>0.12166</v>
      </c>
      <c r="H799" s="27">
        <v>0</v>
      </c>
      <c r="I799" s="26">
        <v>0.12166</v>
      </c>
    </row>
    <row r="800" spans="2:9">
      <c r="B800" t="s">
        <v>564</v>
      </c>
      <c r="C800" t="s">
        <v>826</v>
      </c>
      <c r="D800" t="s">
        <v>827</v>
      </c>
      <c r="E800" t="s">
        <v>830</v>
      </c>
      <c r="G800" s="26">
        <v>0.118364</v>
      </c>
      <c r="H800" s="27">
        <v>0</v>
      </c>
      <c r="I800" s="26">
        <v>0.118364</v>
      </c>
    </row>
    <row r="801" spans="2:9">
      <c r="B801" t="s">
        <v>411</v>
      </c>
      <c r="C801" t="s">
        <v>829</v>
      </c>
      <c r="D801" t="s">
        <v>827</v>
      </c>
      <c r="E801" t="s">
        <v>830</v>
      </c>
      <c r="G801" s="26">
        <v>0.116966</v>
      </c>
      <c r="H801" s="27">
        <v>0</v>
      </c>
      <c r="I801" s="26">
        <v>0.116966</v>
      </c>
    </row>
    <row r="802" spans="2:9">
      <c r="B802" t="s">
        <v>634</v>
      </c>
      <c r="C802" t="s">
        <v>829</v>
      </c>
      <c r="D802" t="s">
        <v>827</v>
      </c>
      <c r="E802" t="s">
        <v>830</v>
      </c>
      <c r="G802" s="26">
        <v>0.114636</v>
      </c>
      <c r="H802" s="27">
        <v>0</v>
      </c>
      <c r="I802" s="26">
        <v>0.114636</v>
      </c>
    </row>
    <row r="803" spans="2:9">
      <c r="B803" t="s">
        <v>175</v>
      </c>
      <c r="C803" t="s">
        <v>829</v>
      </c>
      <c r="D803" t="s">
        <v>827</v>
      </c>
      <c r="E803" t="s">
        <v>830</v>
      </c>
      <c r="G803" s="26">
        <v>0.113238</v>
      </c>
      <c r="H803" s="27">
        <v>0</v>
      </c>
      <c r="I803" s="26">
        <v>0.113238</v>
      </c>
    </row>
    <row r="804" spans="2:9">
      <c r="B804" t="s">
        <v>29</v>
      </c>
      <c r="C804" t="s">
        <v>826</v>
      </c>
      <c r="D804" t="s">
        <v>827</v>
      </c>
      <c r="E804" t="s">
        <v>830</v>
      </c>
      <c r="G804" s="26">
        <v>0.106714</v>
      </c>
      <c r="H804" s="27">
        <v>0</v>
      </c>
      <c r="I804" s="26">
        <v>0.106714</v>
      </c>
    </row>
    <row r="805" spans="2:9">
      <c r="B805" t="s">
        <v>790</v>
      </c>
      <c r="C805" t="s">
        <v>829</v>
      </c>
      <c r="D805" t="s">
        <v>827</v>
      </c>
      <c r="E805" t="s">
        <v>830</v>
      </c>
      <c r="G805" s="26">
        <v>0.105316</v>
      </c>
      <c r="H805" s="27">
        <v>0</v>
      </c>
      <c r="I805" s="26">
        <v>0.105316</v>
      </c>
    </row>
    <row r="806" spans="2:9">
      <c r="B806" t="s">
        <v>329</v>
      </c>
      <c r="C806" t="s">
        <v>829</v>
      </c>
      <c r="D806" t="s">
        <v>827</v>
      </c>
      <c r="E806" t="s">
        <v>830</v>
      </c>
      <c r="G806" s="26">
        <v>10.104853</v>
      </c>
      <c r="H806" s="27">
        <v>10</v>
      </c>
      <c r="I806" s="26">
        <v>0.104853</v>
      </c>
    </row>
    <row r="807" spans="2:9">
      <c r="B807" t="s">
        <v>29</v>
      </c>
      <c r="C807" t="s">
        <v>829</v>
      </c>
      <c r="D807" t="s">
        <v>827</v>
      </c>
      <c r="E807" t="s">
        <v>830</v>
      </c>
      <c r="G807" s="26">
        <v>0.10248</v>
      </c>
      <c r="H807" s="27">
        <v>0</v>
      </c>
      <c r="I807" s="26">
        <v>0.10248</v>
      </c>
    </row>
    <row r="808" spans="2:9">
      <c r="B808" t="s">
        <v>400</v>
      </c>
      <c r="C808" t="s">
        <v>829</v>
      </c>
      <c r="D808" t="s">
        <v>827</v>
      </c>
      <c r="E808" t="s">
        <v>830</v>
      </c>
      <c r="G808" s="26">
        <v>0.099724</v>
      </c>
      <c r="H808" s="27">
        <v>0</v>
      </c>
      <c r="I808" s="26">
        <v>0.099724</v>
      </c>
    </row>
    <row r="809" spans="2:9">
      <c r="B809" t="s">
        <v>366</v>
      </c>
      <c r="C809" t="s">
        <v>826</v>
      </c>
      <c r="D809" t="s">
        <v>827</v>
      </c>
      <c r="E809" t="s">
        <v>830</v>
      </c>
      <c r="G809" s="26">
        <v>0.098792</v>
      </c>
      <c r="H809" s="27">
        <v>0</v>
      </c>
      <c r="I809" s="26">
        <v>0.098792</v>
      </c>
    </row>
    <row r="810" spans="2:9">
      <c r="B810" t="s">
        <v>473</v>
      </c>
      <c r="C810" t="s">
        <v>833</v>
      </c>
      <c r="D810" t="s">
        <v>827</v>
      </c>
      <c r="E810" t="s">
        <v>830</v>
      </c>
      <c r="G810" s="26">
        <v>0.1944</v>
      </c>
      <c r="H810" s="26">
        <v>0.09567</v>
      </c>
      <c r="I810" s="26">
        <v>0.09873</v>
      </c>
    </row>
    <row r="811" spans="2:9">
      <c r="B811" t="s">
        <v>691</v>
      </c>
      <c r="C811" t="s">
        <v>826</v>
      </c>
      <c r="D811" t="s">
        <v>827</v>
      </c>
      <c r="E811" t="s">
        <v>830</v>
      </c>
      <c r="G811" s="26">
        <v>0.096462</v>
      </c>
      <c r="H811" s="27">
        <v>0</v>
      </c>
      <c r="I811" s="26">
        <v>0.096462</v>
      </c>
    </row>
    <row r="812" spans="2:9">
      <c r="B812" t="s">
        <v>458</v>
      </c>
      <c r="C812" t="s">
        <v>829</v>
      </c>
      <c r="D812" t="s">
        <v>827</v>
      </c>
      <c r="E812" t="s">
        <v>830</v>
      </c>
      <c r="G812" s="26">
        <v>10.095424</v>
      </c>
      <c r="H812" s="27">
        <v>10</v>
      </c>
      <c r="I812" s="26">
        <v>0.095424</v>
      </c>
    </row>
    <row r="813" spans="2:9">
      <c r="B813" t="s">
        <v>496</v>
      </c>
      <c r="C813" t="s">
        <v>829</v>
      </c>
      <c r="D813" t="s">
        <v>827</v>
      </c>
      <c r="E813" t="s">
        <v>830</v>
      </c>
      <c r="G813" s="26">
        <v>10.094958</v>
      </c>
      <c r="H813" s="27">
        <v>10</v>
      </c>
      <c r="I813" s="26">
        <v>0.094958</v>
      </c>
    </row>
    <row r="814" spans="2:9">
      <c r="B814" t="s">
        <v>22</v>
      </c>
      <c r="C814" t="s">
        <v>833</v>
      </c>
      <c r="D814" t="s">
        <v>827</v>
      </c>
      <c r="E814" t="s">
        <v>830</v>
      </c>
      <c r="G814" s="26">
        <v>0.1944</v>
      </c>
      <c r="H814" s="26">
        <v>0.10134</v>
      </c>
      <c r="I814" s="26">
        <v>0.09306</v>
      </c>
    </row>
    <row r="815" spans="2:9">
      <c r="B815" t="s">
        <v>28</v>
      </c>
      <c r="C815" t="s">
        <v>826</v>
      </c>
      <c r="D815" t="s">
        <v>827</v>
      </c>
      <c r="E815" t="s">
        <v>830</v>
      </c>
      <c r="G815" s="26">
        <v>0.092268</v>
      </c>
      <c r="H815" s="27">
        <v>0</v>
      </c>
      <c r="I815" s="26">
        <v>0.092268</v>
      </c>
    </row>
    <row r="816" spans="2:9">
      <c r="B816" t="s">
        <v>488</v>
      </c>
      <c r="C816" t="s">
        <v>829</v>
      </c>
      <c r="D816" t="s">
        <v>827</v>
      </c>
      <c r="E816" t="s">
        <v>830</v>
      </c>
      <c r="G816" s="26">
        <v>0.091802</v>
      </c>
      <c r="H816" s="27">
        <v>0</v>
      </c>
      <c r="I816" s="26">
        <v>0.091802</v>
      </c>
    </row>
    <row r="817" spans="2:9">
      <c r="B817" t="s">
        <v>415</v>
      </c>
      <c r="C817" t="s">
        <v>826</v>
      </c>
      <c r="D817" t="s">
        <v>827</v>
      </c>
      <c r="E817" t="s">
        <v>830</v>
      </c>
      <c r="G817" s="26">
        <v>0.080152</v>
      </c>
      <c r="H817" s="27">
        <v>0</v>
      </c>
      <c r="I817" s="26">
        <v>0.080152</v>
      </c>
    </row>
    <row r="818" spans="2:9">
      <c r="B818" t="s">
        <v>256</v>
      </c>
      <c r="C818" t="s">
        <v>829</v>
      </c>
      <c r="D818" t="s">
        <v>827</v>
      </c>
      <c r="E818" t="s">
        <v>830</v>
      </c>
      <c r="G818" s="26">
        <v>0.070094</v>
      </c>
      <c r="H818" s="27">
        <v>0</v>
      </c>
      <c r="I818" s="26">
        <v>0.070094</v>
      </c>
    </row>
    <row r="819" spans="2:9">
      <c r="B819" t="s">
        <v>376</v>
      </c>
      <c r="C819" t="s">
        <v>829</v>
      </c>
      <c r="D819" t="s">
        <v>827</v>
      </c>
      <c r="E819" t="s">
        <v>830</v>
      </c>
      <c r="G819" s="26">
        <v>0.066172</v>
      </c>
      <c r="H819" s="27">
        <v>0</v>
      </c>
      <c r="I819" s="26">
        <v>0.066172</v>
      </c>
    </row>
    <row r="820" spans="2:9">
      <c r="B820" t="s">
        <v>309</v>
      </c>
      <c r="C820" t="s">
        <v>826</v>
      </c>
      <c r="D820" t="s">
        <v>827</v>
      </c>
      <c r="E820" t="s">
        <v>830</v>
      </c>
      <c r="G820" s="26">
        <v>0.06524</v>
      </c>
      <c r="H820" s="27">
        <v>0</v>
      </c>
      <c r="I820" s="26">
        <v>0.06524</v>
      </c>
    </row>
    <row r="821" spans="2:9">
      <c r="B821" t="s">
        <v>207</v>
      </c>
      <c r="C821" t="s">
        <v>826</v>
      </c>
      <c r="D821" t="s">
        <v>827</v>
      </c>
      <c r="E821" t="s">
        <v>830</v>
      </c>
      <c r="G821" s="26">
        <v>0.064774</v>
      </c>
      <c r="H821" s="27">
        <v>0</v>
      </c>
      <c r="I821" s="26">
        <v>0.064774</v>
      </c>
    </row>
    <row r="822" spans="2:9">
      <c r="B822" t="s">
        <v>233</v>
      </c>
      <c r="C822" t="s">
        <v>829</v>
      </c>
      <c r="D822" t="s">
        <v>827</v>
      </c>
      <c r="E822" t="s">
        <v>830</v>
      </c>
      <c r="G822" s="26">
        <v>0.06291</v>
      </c>
      <c r="H822" s="27">
        <v>0</v>
      </c>
      <c r="I822" s="26">
        <v>0.06291</v>
      </c>
    </row>
    <row r="823" spans="2:9">
      <c r="B823" t="s">
        <v>24</v>
      </c>
      <c r="C823" t="s">
        <v>826</v>
      </c>
      <c r="D823" t="s">
        <v>827</v>
      </c>
      <c r="E823" t="s">
        <v>830</v>
      </c>
      <c r="G823" s="26">
        <v>0.061978</v>
      </c>
      <c r="H823" s="27">
        <v>0</v>
      </c>
      <c r="I823" s="26">
        <v>0.061978</v>
      </c>
    </row>
    <row r="824" spans="2:9">
      <c r="B824" t="s">
        <v>261</v>
      </c>
      <c r="C824" t="s">
        <v>829</v>
      </c>
      <c r="D824" t="s">
        <v>827</v>
      </c>
      <c r="E824" t="s">
        <v>830</v>
      </c>
      <c r="G824" s="26">
        <v>0.061046</v>
      </c>
      <c r="H824" s="27">
        <v>0</v>
      </c>
      <c r="I824" s="26">
        <v>0.061046</v>
      </c>
    </row>
    <row r="825" spans="2:9">
      <c r="B825" t="s">
        <v>238</v>
      </c>
      <c r="C825" t="s">
        <v>826</v>
      </c>
      <c r="D825" t="s">
        <v>827</v>
      </c>
      <c r="E825" t="s">
        <v>830</v>
      </c>
      <c r="G825" s="26">
        <v>0.059182</v>
      </c>
      <c r="H825" s="27">
        <v>0</v>
      </c>
      <c r="I825" s="26">
        <v>0.059182</v>
      </c>
    </row>
    <row r="826" spans="2:9">
      <c r="B826" t="s">
        <v>342</v>
      </c>
      <c r="C826" t="s">
        <v>826</v>
      </c>
      <c r="D826" t="s">
        <v>827</v>
      </c>
      <c r="E826" t="s">
        <v>830</v>
      </c>
      <c r="G826" s="26">
        <v>0.058716</v>
      </c>
      <c r="H826" s="27">
        <v>0</v>
      </c>
      <c r="I826" s="26">
        <v>0.058716</v>
      </c>
    </row>
    <row r="827" spans="2:9">
      <c r="B827" t="s">
        <v>236</v>
      </c>
      <c r="C827" t="s">
        <v>826</v>
      </c>
      <c r="D827" t="s">
        <v>827</v>
      </c>
      <c r="E827" t="s">
        <v>830</v>
      </c>
      <c r="G827" s="26">
        <v>0.058716</v>
      </c>
      <c r="H827" s="27">
        <v>0</v>
      </c>
      <c r="I827" s="26">
        <v>0.058716</v>
      </c>
    </row>
    <row r="828" spans="2:9">
      <c r="B828" t="s">
        <v>694</v>
      </c>
      <c r="C828" t="s">
        <v>834</v>
      </c>
      <c r="D828" t="s">
        <v>827</v>
      </c>
      <c r="E828" t="s">
        <v>830</v>
      </c>
      <c r="G828" s="26">
        <v>7.557371</v>
      </c>
      <c r="H828" s="26">
        <v>7.5</v>
      </c>
      <c r="I828" s="26">
        <v>0.057371</v>
      </c>
    </row>
    <row r="829" spans="2:9">
      <c r="B829" t="s">
        <v>764</v>
      </c>
      <c r="C829" t="s">
        <v>832</v>
      </c>
      <c r="D829" t="s">
        <v>827</v>
      </c>
      <c r="E829" t="s">
        <v>830</v>
      </c>
      <c r="G829" s="26">
        <v>0.14688</v>
      </c>
      <c r="H829" s="26">
        <v>0.090032</v>
      </c>
      <c r="I829" s="26">
        <v>0.056848</v>
      </c>
    </row>
    <row r="830" spans="2:9">
      <c r="B830" t="s">
        <v>460</v>
      </c>
      <c r="C830" t="s">
        <v>833</v>
      </c>
      <c r="D830" t="s">
        <v>827</v>
      </c>
      <c r="E830" t="s">
        <v>830</v>
      </c>
      <c r="G830" s="26">
        <v>0.1944</v>
      </c>
      <c r="H830" s="26">
        <v>0.138105</v>
      </c>
      <c r="I830" s="26">
        <v>0.056295</v>
      </c>
    </row>
    <row r="831" spans="2:9">
      <c r="B831" t="s">
        <v>25</v>
      </c>
      <c r="C831" t="s">
        <v>833</v>
      </c>
      <c r="D831" t="s">
        <v>827</v>
      </c>
      <c r="E831" t="s">
        <v>830</v>
      </c>
      <c r="G831" s="26">
        <v>0.1944</v>
      </c>
      <c r="H831" s="26">
        <v>0.138825</v>
      </c>
      <c r="I831" s="26">
        <v>0.055575</v>
      </c>
    </row>
    <row r="832" spans="2:9">
      <c r="B832" t="s">
        <v>382</v>
      </c>
      <c r="C832" t="s">
        <v>826</v>
      </c>
      <c r="D832" t="s">
        <v>827</v>
      </c>
      <c r="E832" t="s">
        <v>830</v>
      </c>
      <c r="G832" s="26">
        <v>0.055118</v>
      </c>
      <c r="H832" s="27">
        <v>0</v>
      </c>
      <c r="I832" s="26">
        <v>0.055118</v>
      </c>
    </row>
    <row r="833" spans="2:9">
      <c r="B833" t="s">
        <v>285</v>
      </c>
      <c r="C833" t="s">
        <v>829</v>
      </c>
      <c r="D833" t="s">
        <v>827</v>
      </c>
      <c r="E833" t="s">
        <v>830</v>
      </c>
      <c r="G833" s="26">
        <v>0.049862</v>
      </c>
      <c r="H833" s="27">
        <v>0</v>
      </c>
      <c r="I833" s="26">
        <v>0.049862</v>
      </c>
    </row>
    <row r="834" spans="2:9">
      <c r="B834" t="s">
        <v>488</v>
      </c>
      <c r="C834" t="s">
        <v>831</v>
      </c>
      <c r="D834" t="s">
        <v>827</v>
      </c>
      <c r="E834" t="s">
        <v>830</v>
      </c>
      <c r="G834" s="26">
        <v>0.04893</v>
      </c>
      <c r="H834" s="27">
        <v>0</v>
      </c>
      <c r="I834" s="26">
        <v>0.04893</v>
      </c>
    </row>
    <row r="835" spans="2:9">
      <c r="B835" t="s">
        <v>657</v>
      </c>
      <c r="C835" t="s">
        <v>833</v>
      </c>
      <c r="D835" t="s">
        <v>827</v>
      </c>
      <c r="E835" t="s">
        <v>830</v>
      </c>
      <c r="G835" s="26">
        <v>0.1944</v>
      </c>
      <c r="H835" s="26">
        <v>0.14661</v>
      </c>
      <c r="I835" s="26">
        <v>0.04779</v>
      </c>
    </row>
    <row r="836" spans="2:9">
      <c r="B836" t="s">
        <v>359</v>
      </c>
      <c r="C836" t="s">
        <v>826</v>
      </c>
      <c r="D836" t="s">
        <v>827</v>
      </c>
      <c r="E836" t="s">
        <v>830</v>
      </c>
      <c r="G836" s="26">
        <v>0.047532</v>
      </c>
      <c r="H836" s="27">
        <v>0</v>
      </c>
      <c r="I836" s="26">
        <v>0.047532</v>
      </c>
    </row>
    <row r="837" spans="2:9">
      <c r="B837" t="s">
        <v>616</v>
      </c>
      <c r="C837" t="s">
        <v>832</v>
      </c>
      <c r="D837" t="s">
        <v>827</v>
      </c>
      <c r="E837" t="s">
        <v>828</v>
      </c>
      <c r="F837" t="s">
        <v>617</v>
      </c>
      <c r="G837" s="26">
        <v>3.672</v>
      </c>
      <c r="H837" s="26">
        <v>3.62695</v>
      </c>
      <c r="I837" s="26">
        <v>0.04505</v>
      </c>
    </row>
    <row r="838" spans="2:9">
      <c r="B838" t="s">
        <v>291</v>
      </c>
      <c r="C838" t="s">
        <v>826</v>
      </c>
      <c r="D838" t="s">
        <v>827</v>
      </c>
      <c r="E838" t="s">
        <v>830</v>
      </c>
      <c r="G838" s="26">
        <v>0.043804</v>
      </c>
      <c r="H838" s="27">
        <v>0</v>
      </c>
      <c r="I838" s="26">
        <v>0.043804</v>
      </c>
    </row>
    <row r="839" spans="2:9">
      <c r="B839" t="s">
        <v>323</v>
      </c>
      <c r="C839" t="s">
        <v>826</v>
      </c>
      <c r="D839" t="s">
        <v>827</v>
      </c>
      <c r="E839" t="s">
        <v>830</v>
      </c>
      <c r="G839" s="26">
        <v>0.04164</v>
      </c>
      <c r="H839" s="27">
        <v>0</v>
      </c>
      <c r="I839" s="26">
        <v>0.04164</v>
      </c>
    </row>
    <row r="840" spans="2:9">
      <c r="B840" t="s">
        <v>267</v>
      </c>
      <c r="C840" t="s">
        <v>829</v>
      </c>
      <c r="D840" t="s">
        <v>827</v>
      </c>
      <c r="E840" t="s">
        <v>830</v>
      </c>
      <c r="G840" s="26">
        <v>0.040946</v>
      </c>
      <c r="H840" s="27">
        <v>0</v>
      </c>
      <c r="I840" s="26">
        <v>0.040946</v>
      </c>
    </row>
    <row r="841" spans="2:9">
      <c r="B841" t="s">
        <v>570</v>
      </c>
      <c r="C841" t="s">
        <v>833</v>
      </c>
      <c r="D841" t="s">
        <v>827</v>
      </c>
      <c r="E841" t="s">
        <v>830</v>
      </c>
      <c r="G841" s="26">
        <v>0.03888</v>
      </c>
      <c r="H841" s="27">
        <v>0</v>
      </c>
      <c r="I841" s="26">
        <v>0.03888</v>
      </c>
    </row>
    <row r="842" spans="2:9">
      <c r="B842" t="s">
        <v>608</v>
      </c>
      <c r="C842" t="s">
        <v>833</v>
      </c>
      <c r="D842" t="s">
        <v>827</v>
      </c>
      <c r="E842" t="s">
        <v>830</v>
      </c>
      <c r="G842" s="26">
        <v>0.3888</v>
      </c>
      <c r="H842" s="26">
        <v>0.35442</v>
      </c>
      <c r="I842" s="26">
        <v>0.03438</v>
      </c>
    </row>
    <row r="843" spans="2:9">
      <c r="B843" t="s">
        <v>280</v>
      </c>
      <c r="C843" t="s">
        <v>829</v>
      </c>
      <c r="D843" t="s">
        <v>827</v>
      </c>
      <c r="E843" t="s">
        <v>830</v>
      </c>
      <c r="G843" s="26">
        <v>0.032154</v>
      </c>
      <c r="H843" s="27">
        <v>0</v>
      </c>
      <c r="I843" s="26">
        <v>0.032154</v>
      </c>
    </row>
    <row r="844" spans="2:9">
      <c r="B844" t="s">
        <v>38</v>
      </c>
      <c r="C844" t="s">
        <v>833</v>
      </c>
      <c r="D844" t="s">
        <v>827</v>
      </c>
      <c r="E844" t="s">
        <v>830</v>
      </c>
      <c r="G844" s="26">
        <v>0.1944</v>
      </c>
      <c r="H844" s="26">
        <v>0.16263</v>
      </c>
      <c r="I844" s="26">
        <v>0.03177</v>
      </c>
    </row>
    <row r="845" spans="2:9">
      <c r="B845" t="s">
        <v>448</v>
      </c>
      <c r="C845" t="s">
        <v>829</v>
      </c>
      <c r="D845" t="s">
        <v>827</v>
      </c>
      <c r="E845" t="s">
        <v>830</v>
      </c>
      <c r="G845" s="26">
        <v>0.030536</v>
      </c>
      <c r="H845" s="27">
        <v>0</v>
      </c>
      <c r="I845" s="26">
        <v>0.030536</v>
      </c>
    </row>
    <row r="846" spans="2:9">
      <c r="B846" t="s">
        <v>330</v>
      </c>
      <c r="C846" t="s">
        <v>826</v>
      </c>
      <c r="D846" t="s">
        <v>827</v>
      </c>
      <c r="E846" t="s">
        <v>830</v>
      </c>
      <c r="G846" s="26">
        <v>0.029824</v>
      </c>
      <c r="H846" s="27">
        <v>0</v>
      </c>
      <c r="I846" s="26">
        <v>0.029824</v>
      </c>
    </row>
    <row r="847" spans="2:9">
      <c r="B847" t="s">
        <v>340</v>
      </c>
      <c r="C847" t="s">
        <v>826</v>
      </c>
      <c r="D847" t="s">
        <v>827</v>
      </c>
      <c r="E847" t="s">
        <v>830</v>
      </c>
      <c r="G847" s="26">
        <v>0.027494</v>
      </c>
      <c r="H847" s="27">
        <v>0</v>
      </c>
      <c r="I847" s="26">
        <v>0.027494</v>
      </c>
    </row>
    <row r="848" spans="2:9">
      <c r="B848" t="s">
        <v>182</v>
      </c>
      <c r="C848" t="s">
        <v>826</v>
      </c>
      <c r="D848" t="s">
        <v>827</v>
      </c>
      <c r="E848" t="s">
        <v>830</v>
      </c>
      <c r="G848" s="26">
        <v>0.026096</v>
      </c>
      <c r="H848" s="27">
        <v>0</v>
      </c>
      <c r="I848" s="26">
        <v>0.026096</v>
      </c>
    </row>
    <row r="849" spans="2:9">
      <c r="B849" t="s">
        <v>395</v>
      </c>
      <c r="C849" t="s">
        <v>829</v>
      </c>
      <c r="D849" t="s">
        <v>827</v>
      </c>
      <c r="E849" t="s">
        <v>830</v>
      </c>
      <c r="G849" s="26">
        <v>0.02563</v>
      </c>
      <c r="H849" s="27">
        <v>0</v>
      </c>
      <c r="I849" s="26">
        <v>0.02563</v>
      </c>
    </row>
    <row r="850" spans="2:9">
      <c r="B850" t="s">
        <v>145</v>
      </c>
      <c r="C850" t="s">
        <v>834</v>
      </c>
      <c r="D850" t="s">
        <v>827</v>
      </c>
      <c r="E850" t="s">
        <v>830</v>
      </c>
      <c r="G850" s="26">
        <v>7.17696</v>
      </c>
      <c r="H850" s="26">
        <v>7.156104</v>
      </c>
      <c r="I850" s="26">
        <v>0.020856</v>
      </c>
    </row>
    <row r="851" spans="2:9">
      <c r="B851" t="s">
        <v>453</v>
      </c>
      <c r="C851" t="s">
        <v>826</v>
      </c>
      <c r="D851" t="s">
        <v>827</v>
      </c>
      <c r="E851" t="s">
        <v>830</v>
      </c>
      <c r="G851" s="26">
        <v>0.020504</v>
      </c>
      <c r="H851" s="27">
        <v>0</v>
      </c>
      <c r="I851" s="26">
        <v>0.020504</v>
      </c>
    </row>
    <row r="852" spans="2:9">
      <c r="B852" t="s">
        <v>125</v>
      </c>
      <c r="C852" t="s">
        <v>829</v>
      </c>
      <c r="D852" t="s">
        <v>827</v>
      </c>
      <c r="E852" t="s">
        <v>830</v>
      </c>
      <c r="G852" s="26">
        <v>0.018174</v>
      </c>
      <c r="H852" s="27">
        <v>0</v>
      </c>
      <c r="I852" s="26">
        <v>0.018174</v>
      </c>
    </row>
    <row r="853" spans="2:9">
      <c r="B853" t="s">
        <v>555</v>
      </c>
      <c r="C853" t="s">
        <v>833</v>
      </c>
      <c r="D853" t="s">
        <v>827</v>
      </c>
      <c r="E853" t="s">
        <v>830</v>
      </c>
      <c r="G853" s="26">
        <v>0.1944</v>
      </c>
      <c r="H853" s="26">
        <v>0.17721</v>
      </c>
      <c r="I853" s="26">
        <v>0.01719</v>
      </c>
    </row>
    <row r="854" spans="2:9">
      <c r="B854" t="s">
        <v>344</v>
      </c>
      <c r="C854" t="s">
        <v>826</v>
      </c>
      <c r="D854" t="s">
        <v>827</v>
      </c>
      <c r="E854" t="s">
        <v>830</v>
      </c>
      <c r="G854" s="26">
        <v>0.015844</v>
      </c>
      <c r="H854" s="27">
        <v>0</v>
      </c>
      <c r="I854" s="26">
        <v>0.015844</v>
      </c>
    </row>
    <row r="855" spans="2:9">
      <c r="B855" t="s">
        <v>213</v>
      </c>
      <c r="C855" t="s">
        <v>829</v>
      </c>
      <c r="D855" t="s">
        <v>827</v>
      </c>
      <c r="E855" t="s">
        <v>830</v>
      </c>
      <c r="G855" s="26">
        <v>0.0147</v>
      </c>
      <c r="H855" s="27">
        <v>0</v>
      </c>
      <c r="I855" s="26">
        <v>0.0147</v>
      </c>
    </row>
    <row r="856" spans="2:9">
      <c r="B856" t="s">
        <v>214</v>
      </c>
      <c r="C856" t="s">
        <v>826</v>
      </c>
      <c r="D856" t="s">
        <v>827</v>
      </c>
      <c r="E856" t="s">
        <v>830</v>
      </c>
      <c r="G856" s="26">
        <v>0.014446</v>
      </c>
      <c r="H856" s="27">
        <v>0</v>
      </c>
      <c r="I856" s="26">
        <v>0.014446</v>
      </c>
    </row>
    <row r="857" spans="2:9">
      <c r="B857" t="s">
        <v>766</v>
      </c>
      <c r="C857" t="s">
        <v>829</v>
      </c>
      <c r="D857" t="s">
        <v>827</v>
      </c>
      <c r="E857" t="s">
        <v>830</v>
      </c>
      <c r="G857" s="26">
        <v>0.014446</v>
      </c>
      <c r="H857" s="27">
        <v>0</v>
      </c>
      <c r="I857" s="26">
        <v>0.014446</v>
      </c>
    </row>
    <row r="858" spans="2:9">
      <c r="B858" t="s">
        <v>459</v>
      </c>
      <c r="C858" t="s">
        <v>826</v>
      </c>
      <c r="D858" t="s">
        <v>827</v>
      </c>
      <c r="E858" t="s">
        <v>830</v>
      </c>
      <c r="G858" s="26">
        <v>0.014112</v>
      </c>
      <c r="H858" s="27">
        <v>0</v>
      </c>
      <c r="I858" s="26">
        <v>0.014112</v>
      </c>
    </row>
    <row r="859" spans="2:9">
      <c r="B859" t="s">
        <v>117</v>
      </c>
      <c r="C859" t="s">
        <v>829</v>
      </c>
      <c r="D859" t="s">
        <v>827</v>
      </c>
      <c r="E859" t="s">
        <v>830</v>
      </c>
      <c r="G859" s="26">
        <v>0.013048</v>
      </c>
      <c r="H859" s="27">
        <v>0</v>
      </c>
      <c r="I859" s="26">
        <v>0.013048</v>
      </c>
    </row>
    <row r="860" spans="2:9">
      <c r="B860" t="s">
        <v>459</v>
      </c>
      <c r="C860" t="s">
        <v>829</v>
      </c>
      <c r="D860" t="s">
        <v>827</v>
      </c>
      <c r="E860" t="s">
        <v>830</v>
      </c>
      <c r="G860" s="26">
        <v>0.012116</v>
      </c>
      <c r="H860" s="27">
        <v>0</v>
      </c>
      <c r="I860" s="26">
        <v>0.012116</v>
      </c>
    </row>
    <row r="861" spans="2:9">
      <c r="B861" t="s">
        <v>409</v>
      </c>
      <c r="C861" t="s">
        <v>826</v>
      </c>
      <c r="D861" t="s">
        <v>827</v>
      </c>
      <c r="E861" t="s">
        <v>830</v>
      </c>
      <c r="G861" s="26">
        <v>0.011592</v>
      </c>
      <c r="H861" s="27">
        <v>0</v>
      </c>
      <c r="I861" s="26">
        <v>0.011592</v>
      </c>
    </row>
    <row r="862" spans="2:9">
      <c r="B862" t="s">
        <v>343</v>
      </c>
      <c r="C862" t="s">
        <v>829</v>
      </c>
      <c r="D862" t="s">
        <v>827</v>
      </c>
      <c r="E862" t="s">
        <v>830</v>
      </c>
      <c r="G862" s="26">
        <v>0.011184</v>
      </c>
      <c r="H862" s="27">
        <v>0</v>
      </c>
      <c r="I862" s="26">
        <v>0.011184</v>
      </c>
    </row>
    <row r="863" spans="2:9">
      <c r="B863" t="s">
        <v>725</v>
      </c>
      <c r="C863" t="s">
        <v>826</v>
      </c>
      <c r="D863" t="s">
        <v>827</v>
      </c>
      <c r="E863" t="s">
        <v>830</v>
      </c>
      <c r="G863" s="26">
        <v>0.00932</v>
      </c>
      <c r="H863" s="27">
        <v>0</v>
      </c>
      <c r="I863" s="26">
        <v>0.00932</v>
      </c>
    </row>
    <row r="864" spans="2:9">
      <c r="B864" t="s">
        <v>631</v>
      </c>
      <c r="C864" t="s">
        <v>833</v>
      </c>
      <c r="D864" t="s">
        <v>827</v>
      </c>
      <c r="E864" t="s">
        <v>830</v>
      </c>
      <c r="G864" s="26">
        <v>0.1944</v>
      </c>
      <c r="H864" s="26">
        <v>0.185085</v>
      </c>
      <c r="I864" s="26">
        <v>0.009315</v>
      </c>
    </row>
    <row r="865" spans="2:9">
      <c r="B865" t="s">
        <v>373</v>
      </c>
      <c r="C865" t="s">
        <v>829</v>
      </c>
      <c r="D865" t="s">
        <v>827</v>
      </c>
      <c r="E865" t="s">
        <v>830</v>
      </c>
      <c r="G865" s="26">
        <v>0.006608</v>
      </c>
      <c r="H865" s="27">
        <v>0</v>
      </c>
      <c r="I865" s="26">
        <v>0.006608</v>
      </c>
    </row>
    <row r="866" spans="2:9">
      <c r="B866" t="s">
        <v>367</v>
      </c>
      <c r="C866" t="s">
        <v>829</v>
      </c>
      <c r="D866" t="s">
        <v>827</v>
      </c>
      <c r="E866" t="s">
        <v>830</v>
      </c>
      <c r="G866" s="26">
        <v>0.006524</v>
      </c>
      <c r="H866" s="27">
        <v>0</v>
      </c>
      <c r="I866" s="26">
        <v>0.006524</v>
      </c>
    </row>
    <row r="867" spans="2:9">
      <c r="B867" t="s">
        <v>333</v>
      </c>
      <c r="C867" t="s">
        <v>829</v>
      </c>
      <c r="D867" t="s">
        <v>827</v>
      </c>
      <c r="E867" t="s">
        <v>830</v>
      </c>
      <c r="G867" s="26">
        <v>0.005592</v>
      </c>
      <c r="H867" s="27">
        <v>0</v>
      </c>
      <c r="I867" s="26">
        <v>0.005592</v>
      </c>
    </row>
    <row r="868" spans="2:9">
      <c r="B868" t="s">
        <v>18</v>
      </c>
      <c r="C868" t="s">
        <v>831</v>
      </c>
      <c r="D868" t="s">
        <v>827</v>
      </c>
      <c r="E868" t="s">
        <v>830</v>
      </c>
      <c r="G868" s="26">
        <v>0.005126</v>
      </c>
      <c r="H868" s="27">
        <v>0</v>
      </c>
      <c r="I868" s="26">
        <v>0.005126</v>
      </c>
    </row>
    <row r="869" spans="2:9">
      <c r="B869" t="s">
        <v>224</v>
      </c>
      <c r="C869" t="s">
        <v>829</v>
      </c>
      <c r="D869" t="s">
        <v>827</v>
      </c>
      <c r="E869" t="s">
        <v>830</v>
      </c>
      <c r="G869" s="27">
        <v>0.003728</v>
      </c>
      <c r="H869" s="27">
        <v>0</v>
      </c>
      <c r="I869" s="27">
        <v>0.003728</v>
      </c>
    </row>
    <row r="870" spans="2:9">
      <c r="B870" t="s">
        <v>185</v>
      </c>
      <c r="C870" t="s">
        <v>826</v>
      </c>
      <c r="D870" t="s">
        <v>827</v>
      </c>
      <c r="E870" t="s">
        <v>830</v>
      </c>
      <c r="G870" s="27">
        <v>0.003262</v>
      </c>
      <c r="H870" s="27">
        <v>0</v>
      </c>
      <c r="I870" s="27">
        <v>0.003262</v>
      </c>
    </row>
    <row r="871" spans="2:9">
      <c r="B871" t="s">
        <v>810</v>
      </c>
      <c r="C871" t="s">
        <v>826</v>
      </c>
      <c r="D871" t="s">
        <v>827</v>
      </c>
      <c r="E871" t="s">
        <v>828</v>
      </c>
      <c r="F871" t="s">
        <v>811</v>
      </c>
      <c r="G871" s="27">
        <v>0.003262</v>
      </c>
      <c r="H871" s="27">
        <v>0</v>
      </c>
      <c r="I871" s="27">
        <v>0.003262</v>
      </c>
    </row>
    <row r="872" spans="2:9">
      <c r="B872" t="s">
        <v>196</v>
      </c>
      <c r="C872" t="s">
        <v>829</v>
      </c>
      <c r="D872" t="s">
        <v>827</v>
      </c>
      <c r="E872" t="s">
        <v>830</v>
      </c>
      <c r="G872" s="27">
        <v>0.000224</v>
      </c>
      <c r="H872" s="27">
        <v>0</v>
      </c>
      <c r="I872" s="27">
        <v>0.000224</v>
      </c>
    </row>
    <row r="873" spans="2:9">
      <c r="B873" t="s">
        <v>227</v>
      </c>
      <c r="C873" t="s">
        <v>829</v>
      </c>
      <c r="D873" t="s">
        <v>827</v>
      </c>
      <c r="E873" t="s">
        <v>828</v>
      </c>
      <c r="F873" t="s">
        <v>228</v>
      </c>
      <c r="G873" s="26">
        <v>0.046564</v>
      </c>
      <c r="H873" s="26">
        <v>0.046564</v>
      </c>
      <c r="I873" s="27">
        <v>0</v>
      </c>
    </row>
    <row r="874" spans="2:9">
      <c r="B874" t="s">
        <v>785</v>
      </c>
      <c r="C874" t="s">
        <v>834</v>
      </c>
      <c r="D874" t="s">
        <v>827</v>
      </c>
      <c r="E874" t="s">
        <v>830</v>
      </c>
      <c r="G874" s="26">
        <v>3.58848</v>
      </c>
      <c r="H874" s="26">
        <v>3.58848</v>
      </c>
      <c r="I874" s="27">
        <v>0</v>
      </c>
    </row>
    <row r="875" spans="2:9">
      <c r="B875" t="s">
        <v>771</v>
      </c>
      <c r="C875" t="s">
        <v>833</v>
      </c>
      <c r="D875" t="s">
        <v>827</v>
      </c>
      <c r="E875" t="s">
        <v>830</v>
      </c>
      <c r="G875" s="26">
        <v>0.1944</v>
      </c>
      <c r="H875" s="26">
        <v>0.1944</v>
      </c>
      <c r="I875" s="27">
        <v>0</v>
      </c>
    </row>
    <row r="876" spans="2:9">
      <c r="B876" t="s">
        <v>271</v>
      </c>
      <c r="C876" t="s">
        <v>834</v>
      </c>
      <c r="D876" t="s">
        <v>827</v>
      </c>
      <c r="E876" t="s">
        <v>828</v>
      </c>
      <c r="F876" t="s">
        <v>272</v>
      </c>
      <c r="G876" s="26">
        <v>3.818048</v>
      </c>
      <c r="H876" s="26">
        <v>3.818048</v>
      </c>
      <c r="I876" s="27">
        <v>0</v>
      </c>
    </row>
    <row r="877" spans="2:9">
      <c r="B877" t="s">
        <v>197</v>
      </c>
      <c r="C877" t="s">
        <v>832</v>
      </c>
      <c r="D877" t="s">
        <v>827</v>
      </c>
      <c r="E877" t="s">
        <v>830</v>
      </c>
      <c r="G877" s="26">
        <v>5.486002</v>
      </c>
      <c r="H877" s="26">
        <v>5.486002</v>
      </c>
      <c r="I877" s="27">
        <v>0</v>
      </c>
    </row>
    <row r="878" spans="2:9">
      <c r="B878" t="s">
        <v>333</v>
      </c>
      <c r="C878" t="s">
        <v>834</v>
      </c>
      <c r="D878" t="s">
        <v>827</v>
      </c>
      <c r="E878" t="s">
        <v>830</v>
      </c>
      <c r="G878" s="26">
        <v>0.94806</v>
      </c>
      <c r="H878" s="26">
        <v>0.94806</v>
      </c>
      <c r="I878" s="27">
        <v>0</v>
      </c>
    </row>
    <row r="879" spans="2:9">
      <c r="B879" t="s">
        <v>385</v>
      </c>
      <c r="C879" t="s">
        <v>834</v>
      </c>
      <c r="D879" t="s">
        <v>827</v>
      </c>
      <c r="E879" t="s">
        <v>830</v>
      </c>
      <c r="G879" s="26">
        <v>6.865971</v>
      </c>
      <c r="H879" s="26">
        <v>6.865971</v>
      </c>
      <c r="I879" s="27">
        <v>0</v>
      </c>
    </row>
    <row r="880" spans="2:9">
      <c r="B880" t="s">
        <v>727</v>
      </c>
      <c r="C880" t="s">
        <v>833</v>
      </c>
      <c r="D880" t="s">
        <v>827</v>
      </c>
      <c r="E880" t="s">
        <v>830</v>
      </c>
      <c r="G880" s="26">
        <v>0.1944</v>
      </c>
      <c r="H880" s="26">
        <v>0.1944</v>
      </c>
      <c r="I880" s="27">
        <v>0</v>
      </c>
    </row>
    <row r="881" spans="2:9">
      <c r="B881" t="s">
        <v>814</v>
      </c>
      <c r="C881" t="s">
        <v>833</v>
      </c>
      <c r="D881" t="s">
        <v>827</v>
      </c>
      <c r="E881" t="s">
        <v>830</v>
      </c>
      <c r="G881" s="26">
        <v>8.700344</v>
      </c>
      <c r="H881" s="26">
        <v>8.700344</v>
      </c>
      <c r="I881" s="27">
        <v>0</v>
      </c>
    </row>
    <row r="882" spans="2:9">
      <c r="B882" t="s">
        <v>786</v>
      </c>
      <c r="C882" t="s">
        <v>833</v>
      </c>
      <c r="D882" t="s">
        <v>827</v>
      </c>
      <c r="E882" t="s">
        <v>830</v>
      </c>
      <c r="G882" s="26">
        <v>1.1664</v>
      </c>
      <c r="H882" s="26">
        <v>1.1664</v>
      </c>
      <c r="I882" s="27">
        <v>0</v>
      </c>
    </row>
    <row r="883" spans="2:9">
      <c r="B883" t="s">
        <v>30</v>
      </c>
      <c r="C883" t="s">
        <v>834</v>
      </c>
      <c r="D883" t="s">
        <v>827</v>
      </c>
      <c r="E883" t="s">
        <v>830</v>
      </c>
      <c r="G883" s="26">
        <v>3.58848</v>
      </c>
      <c r="H883" s="26">
        <v>3.58848</v>
      </c>
      <c r="I883" s="27">
        <v>0</v>
      </c>
    </row>
    <row r="884" spans="2:9">
      <c r="B884" t="s">
        <v>58</v>
      </c>
      <c r="C884" t="s">
        <v>833</v>
      </c>
      <c r="D884" t="s">
        <v>827</v>
      </c>
      <c r="E884" t="s">
        <v>830</v>
      </c>
      <c r="G884" s="26">
        <v>2.7216</v>
      </c>
      <c r="H884" s="26">
        <v>2.7216</v>
      </c>
      <c r="I884" s="27">
        <v>0</v>
      </c>
    </row>
    <row r="885" spans="2:9">
      <c r="B885" t="s">
        <v>206</v>
      </c>
      <c r="C885" t="s">
        <v>834</v>
      </c>
      <c r="D885" t="s">
        <v>827</v>
      </c>
      <c r="E885" t="s">
        <v>830</v>
      </c>
      <c r="G885" s="26">
        <v>0.193358</v>
      </c>
      <c r="H885" s="26">
        <v>0.193358</v>
      </c>
      <c r="I885" s="27">
        <v>0</v>
      </c>
    </row>
    <row r="886" spans="2:9">
      <c r="B886" t="s">
        <v>29</v>
      </c>
      <c r="C886" t="s">
        <v>833</v>
      </c>
      <c r="D886" t="s">
        <v>827</v>
      </c>
      <c r="E886" t="s">
        <v>830</v>
      </c>
      <c r="G886" s="26">
        <v>0.1944</v>
      </c>
      <c r="H886" s="26">
        <v>0.1944</v>
      </c>
      <c r="I886" s="27">
        <v>0</v>
      </c>
    </row>
    <row r="887" spans="2:9">
      <c r="B887" t="s">
        <v>388</v>
      </c>
      <c r="C887" t="s">
        <v>834</v>
      </c>
      <c r="D887" t="s">
        <v>827</v>
      </c>
      <c r="E887" t="s">
        <v>828</v>
      </c>
      <c r="F887" t="s">
        <v>389</v>
      </c>
      <c r="G887" s="26">
        <v>8.670669</v>
      </c>
      <c r="H887" s="26">
        <v>8.670669</v>
      </c>
      <c r="I887" s="27">
        <v>0</v>
      </c>
    </row>
    <row r="888" spans="2:9">
      <c r="B888" t="s">
        <v>61</v>
      </c>
      <c r="C888" t="s">
        <v>834</v>
      </c>
      <c r="D888" t="s">
        <v>827</v>
      </c>
      <c r="E888" t="s">
        <v>830</v>
      </c>
      <c r="G888" s="26">
        <v>105.54264</v>
      </c>
      <c r="H888" s="26">
        <v>105.54264</v>
      </c>
      <c r="I888" s="27">
        <v>0</v>
      </c>
    </row>
    <row r="889" spans="2:9">
      <c r="B889" t="s">
        <v>271</v>
      </c>
      <c r="C889" t="s">
        <v>832</v>
      </c>
      <c r="D889" t="s">
        <v>827</v>
      </c>
      <c r="E889" t="s">
        <v>828</v>
      </c>
      <c r="F889" t="s">
        <v>272</v>
      </c>
      <c r="G889" s="26">
        <v>1.757256</v>
      </c>
      <c r="H889" s="26">
        <v>1.757256</v>
      </c>
      <c r="I889" s="27">
        <v>0</v>
      </c>
    </row>
    <row r="890" spans="2:9">
      <c r="B890" t="s">
        <v>780</v>
      </c>
      <c r="C890" t="s">
        <v>833</v>
      </c>
      <c r="D890" t="s">
        <v>827</v>
      </c>
      <c r="E890" t="s">
        <v>830</v>
      </c>
      <c r="G890" s="26">
        <v>0.344925</v>
      </c>
      <c r="H890" s="26">
        <v>0.344925</v>
      </c>
      <c r="I890" s="27">
        <v>0</v>
      </c>
    </row>
    <row r="891" spans="2:9">
      <c r="B891" t="s">
        <v>605</v>
      </c>
      <c r="C891" t="s">
        <v>834</v>
      </c>
      <c r="D891" t="s">
        <v>827</v>
      </c>
      <c r="E891" t="s">
        <v>830</v>
      </c>
      <c r="G891" s="26">
        <v>176.30325</v>
      </c>
      <c r="H891" s="26">
        <v>176.30325</v>
      </c>
      <c r="I891" s="27">
        <v>0</v>
      </c>
    </row>
    <row r="892" spans="2:9">
      <c r="B892" t="s">
        <v>633</v>
      </c>
      <c r="C892" t="s">
        <v>832</v>
      </c>
      <c r="D892" t="s">
        <v>827</v>
      </c>
      <c r="E892" t="s">
        <v>830</v>
      </c>
      <c r="G892" s="26">
        <v>3.81888</v>
      </c>
      <c r="H892" s="26">
        <v>3.81888</v>
      </c>
      <c r="I892" s="27">
        <v>0</v>
      </c>
    </row>
    <row r="893" spans="2:9">
      <c r="B893" t="s">
        <v>99</v>
      </c>
      <c r="C893" t="s">
        <v>833</v>
      </c>
      <c r="D893" t="s">
        <v>827</v>
      </c>
      <c r="E893" t="s">
        <v>830</v>
      </c>
      <c r="G893" s="26">
        <v>1.886688</v>
      </c>
      <c r="H893" s="26">
        <v>1.886688</v>
      </c>
      <c r="I893" s="27">
        <v>0</v>
      </c>
    </row>
    <row r="894" spans="2:9">
      <c r="B894" t="s">
        <v>462</v>
      </c>
      <c r="C894" t="s">
        <v>834</v>
      </c>
      <c r="D894" t="s">
        <v>827</v>
      </c>
      <c r="E894" t="s">
        <v>830</v>
      </c>
      <c r="G894" s="26">
        <v>3.8268</v>
      </c>
      <c r="H894" s="26">
        <v>3.8268</v>
      </c>
      <c r="I894" s="27">
        <v>0</v>
      </c>
    </row>
    <row r="895" spans="2:9">
      <c r="B895" t="s">
        <v>725</v>
      </c>
      <c r="C895" t="s">
        <v>833</v>
      </c>
      <c r="D895" t="s">
        <v>827</v>
      </c>
      <c r="E895" t="s">
        <v>830</v>
      </c>
      <c r="G895" s="26">
        <v>7.75116</v>
      </c>
      <c r="H895" s="26">
        <v>7.75116</v>
      </c>
      <c r="I895" s="27">
        <v>0</v>
      </c>
    </row>
    <row r="896" spans="2:9">
      <c r="B896" t="s">
        <v>597</v>
      </c>
      <c r="C896" t="s">
        <v>834</v>
      </c>
      <c r="D896" t="s">
        <v>827</v>
      </c>
      <c r="E896" t="s">
        <v>830</v>
      </c>
      <c r="G896" s="26">
        <v>3.686879</v>
      </c>
      <c r="H896" s="26">
        <v>3.686879</v>
      </c>
      <c r="I896" s="27">
        <v>0</v>
      </c>
    </row>
    <row r="897" spans="2:9">
      <c r="B897" t="s">
        <v>588</v>
      </c>
      <c r="C897" t="s">
        <v>834</v>
      </c>
      <c r="D897" t="s">
        <v>827</v>
      </c>
      <c r="E897" t="s">
        <v>828</v>
      </c>
      <c r="F897" t="s">
        <v>589</v>
      </c>
      <c r="G897" s="26">
        <v>2.38824</v>
      </c>
      <c r="H897" s="26">
        <v>2.38824</v>
      </c>
      <c r="I897" s="27">
        <v>0</v>
      </c>
    </row>
    <row r="898" spans="2:9">
      <c r="B898" t="s">
        <v>303</v>
      </c>
      <c r="C898" t="s">
        <v>833</v>
      </c>
      <c r="D898" t="s">
        <v>827</v>
      </c>
      <c r="E898" t="s">
        <v>830</v>
      </c>
      <c r="G898" s="26">
        <v>3.543496</v>
      </c>
      <c r="H898" s="26">
        <v>3.543496</v>
      </c>
      <c r="I898" s="27">
        <v>0</v>
      </c>
    </row>
    <row r="899" spans="2:9">
      <c r="B899" t="s">
        <v>586</v>
      </c>
      <c r="C899" t="s">
        <v>832</v>
      </c>
      <c r="D899" t="s">
        <v>827</v>
      </c>
      <c r="E899" t="s">
        <v>828</v>
      </c>
      <c r="F899" t="s">
        <v>587</v>
      </c>
      <c r="G899" s="26">
        <v>2.35008</v>
      </c>
      <c r="H899" s="26">
        <v>2.35008</v>
      </c>
      <c r="I899" s="27">
        <v>0</v>
      </c>
    </row>
    <row r="900" spans="2:9">
      <c r="B900" t="s">
        <v>177</v>
      </c>
      <c r="C900" t="s">
        <v>834</v>
      </c>
      <c r="D900" t="s">
        <v>827</v>
      </c>
      <c r="E900" t="s">
        <v>830</v>
      </c>
      <c r="G900" s="26">
        <v>3.44808</v>
      </c>
      <c r="H900" s="26">
        <v>3.44808</v>
      </c>
      <c r="I900" s="27">
        <v>0</v>
      </c>
    </row>
    <row r="901" spans="2:9">
      <c r="B901" t="s">
        <v>223</v>
      </c>
      <c r="C901" t="s">
        <v>831</v>
      </c>
      <c r="D901" t="s">
        <v>827</v>
      </c>
      <c r="E901" t="s">
        <v>830</v>
      </c>
      <c r="G901" s="26">
        <v>0.945048</v>
      </c>
      <c r="H901" s="26">
        <v>0.945048</v>
      </c>
      <c r="I901" s="27">
        <v>0</v>
      </c>
    </row>
    <row r="902" spans="2:9">
      <c r="B902" t="s">
        <v>223</v>
      </c>
      <c r="C902" t="s">
        <v>834</v>
      </c>
      <c r="D902" t="s">
        <v>827</v>
      </c>
      <c r="E902" t="s">
        <v>830</v>
      </c>
      <c r="G902" s="26">
        <v>0.783653</v>
      </c>
      <c r="H902" s="26">
        <v>0.783653</v>
      </c>
      <c r="I902" s="27">
        <v>0</v>
      </c>
    </row>
    <row r="903" spans="2:9">
      <c r="B903" t="s">
        <v>346</v>
      </c>
      <c r="C903" t="s">
        <v>834</v>
      </c>
      <c r="D903" t="s">
        <v>827</v>
      </c>
      <c r="E903" t="s">
        <v>830</v>
      </c>
      <c r="G903" s="26">
        <v>7.385953</v>
      </c>
      <c r="H903" s="26">
        <v>7.385953</v>
      </c>
      <c r="I903" s="27">
        <v>0</v>
      </c>
    </row>
    <row r="904" spans="2:9">
      <c r="B904" t="s">
        <v>241</v>
      </c>
      <c r="C904" t="s">
        <v>834</v>
      </c>
      <c r="D904" t="s">
        <v>827</v>
      </c>
      <c r="E904" t="s">
        <v>830</v>
      </c>
      <c r="G904" s="26">
        <v>4.477982</v>
      </c>
      <c r="H904" s="26">
        <v>4.477982</v>
      </c>
      <c r="I904" s="27">
        <v>0</v>
      </c>
    </row>
    <row r="905" spans="2:9">
      <c r="B905" t="s">
        <v>260</v>
      </c>
      <c r="C905" t="s">
        <v>834</v>
      </c>
      <c r="D905" t="s">
        <v>827</v>
      </c>
      <c r="E905" t="s">
        <v>830</v>
      </c>
      <c r="G905" s="26">
        <v>6.922121</v>
      </c>
      <c r="H905" s="26">
        <v>6.922121</v>
      </c>
      <c r="I905" s="27">
        <v>0</v>
      </c>
    </row>
    <row r="906" spans="2:9">
      <c r="B906" t="s">
        <v>745</v>
      </c>
      <c r="C906" t="s">
        <v>829</v>
      </c>
      <c r="D906" t="s">
        <v>827</v>
      </c>
      <c r="E906" t="s">
        <v>830</v>
      </c>
      <c r="G906" s="26">
        <v>11.45894</v>
      </c>
      <c r="H906" s="26">
        <v>11.45894</v>
      </c>
      <c r="I906" s="27">
        <v>0</v>
      </c>
    </row>
    <row r="907" spans="2:9">
      <c r="B907" t="s">
        <v>817</v>
      </c>
      <c r="C907" t="s">
        <v>834</v>
      </c>
      <c r="D907" t="s">
        <v>827</v>
      </c>
      <c r="E907" t="s">
        <v>830</v>
      </c>
      <c r="G907" s="26">
        <v>5.05584</v>
      </c>
      <c r="H907" s="26">
        <v>5.05584</v>
      </c>
      <c r="I907" s="27">
        <v>0</v>
      </c>
    </row>
    <row r="908" spans="2:9">
      <c r="B908" t="s">
        <v>38</v>
      </c>
      <c r="C908" t="s">
        <v>834</v>
      </c>
      <c r="D908" t="s">
        <v>827</v>
      </c>
      <c r="E908" t="s">
        <v>830</v>
      </c>
      <c r="G908" s="26">
        <v>2.760393</v>
      </c>
      <c r="H908" s="26">
        <v>2.760393</v>
      </c>
      <c r="I908" s="27">
        <v>0</v>
      </c>
    </row>
    <row r="909" spans="2:9">
      <c r="B909" t="s">
        <v>659</v>
      </c>
      <c r="C909" t="s">
        <v>834</v>
      </c>
      <c r="D909" t="s">
        <v>827</v>
      </c>
      <c r="E909" t="s">
        <v>830</v>
      </c>
      <c r="G909" s="26">
        <v>4.22208</v>
      </c>
      <c r="H909" s="26">
        <v>4.22208</v>
      </c>
      <c r="I909" s="27">
        <v>0</v>
      </c>
    </row>
    <row r="910" spans="2:9">
      <c r="B910" t="s">
        <v>523</v>
      </c>
      <c r="C910" t="s">
        <v>833</v>
      </c>
      <c r="D910" t="s">
        <v>827</v>
      </c>
      <c r="E910" t="s">
        <v>830</v>
      </c>
      <c r="G910" s="26">
        <v>13.8024</v>
      </c>
      <c r="H910" s="26">
        <v>13.8024</v>
      </c>
      <c r="I910" s="27">
        <v>0</v>
      </c>
    </row>
    <row r="911" spans="2:9">
      <c r="B911" t="s">
        <v>140</v>
      </c>
      <c r="C911" t="s">
        <v>834</v>
      </c>
      <c r="D911" t="s">
        <v>827</v>
      </c>
      <c r="E911" t="s">
        <v>830</v>
      </c>
      <c r="G911" s="26">
        <v>0.7409</v>
      </c>
      <c r="H911" s="26">
        <v>0.7409</v>
      </c>
      <c r="I911" s="27">
        <v>0</v>
      </c>
    </row>
    <row r="912" spans="2:9">
      <c r="B912" t="s">
        <v>494</v>
      </c>
      <c r="C912" t="s">
        <v>832</v>
      </c>
      <c r="D912" t="s">
        <v>827</v>
      </c>
      <c r="E912" t="s">
        <v>830</v>
      </c>
      <c r="G912" s="26">
        <v>2.78919</v>
      </c>
      <c r="H912" s="26">
        <v>2.78919</v>
      </c>
      <c r="I912" s="27">
        <v>0</v>
      </c>
    </row>
    <row r="913" spans="2:9">
      <c r="B913" t="s">
        <v>784</v>
      </c>
      <c r="C913" t="s">
        <v>833</v>
      </c>
      <c r="D913" t="s">
        <v>827</v>
      </c>
      <c r="E913" t="s">
        <v>830</v>
      </c>
      <c r="G913" s="26">
        <v>0.1944</v>
      </c>
      <c r="H913" s="26">
        <v>0.1944</v>
      </c>
      <c r="I913" s="27">
        <v>0</v>
      </c>
    </row>
    <row r="914" spans="2:9">
      <c r="B914" t="s">
        <v>188</v>
      </c>
      <c r="C914" t="s">
        <v>834</v>
      </c>
      <c r="D914" t="s">
        <v>827</v>
      </c>
      <c r="E914" t="s">
        <v>830</v>
      </c>
      <c r="G914" s="26">
        <v>2.51532</v>
      </c>
      <c r="H914" s="26">
        <v>2.51532</v>
      </c>
      <c r="I914" s="27">
        <v>0</v>
      </c>
    </row>
    <row r="915" spans="2:9">
      <c r="B915" t="s">
        <v>66</v>
      </c>
      <c r="C915" t="s">
        <v>833</v>
      </c>
      <c r="D915" t="s">
        <v>827</v>
      </c>
      <c r="E915" t="s">
        <v>830</v>
      </c>
      <c r="G915" s="26">
        <v>0.1944</v>
      </c>
      <c r="H915" s="26">
        <v>0.1944</v>
      </c>
      <c r="I915" s="27">
        <v>0</v>
      </c>
    </row>
    <row r="916" spans="2:9">
      <c r="B916" t="s">
        <v>26</v>
      </c>
      <c r="C916" t="s">
        <v>832</v>
      </c>
      <c r="D916" t="s">
        <v>827</v>
      </c>
      <c r="E916" t="s">
        <v>830</v>
      </c>
      <c r="G916" s="26">
        <v>4.40538</v>
      </c>
      <c r="H916" s="26">
        <v>4.40538</v>
      </c>
      <c r="I916" s="27">
        <v>0</v>
      </c>
    </row>
    <row r="917" spans="2:9">
      <c r="B917" t="s">
        <v>385</v>
      </c>
      <c r="C917" t="s">
        <v>831</v>
      </c>
      <c r="D917" t="s">
        <v>827</v>
      </c>
      <c r="E917" t="s">
        <v>830</v>
      </c>
      <c r="G917" s="26">
        <v>2.365428</v>
      </c>
      <c r="H917" s="26">
        <v>2.365428</v>
      </c>
      <c r="I917" s="27">
        <v>0</v>
      </c>
    </row>
    <row r="918" spans="2:9">
      <c r="B918" t="s">
        <v>194</v>
      </c>
      <c r="C918" t="s">
        <v>833</v>
      </c>
      <c r="D918" t="s">
        <v>827</v>
      </c>
      <c r="E918" t="s">
        <v>830</v>
      </c>
      <c r="G918" s="26">
        <v>0.023715</v>
      </c>
      <c r="H918" s="26">
        <v>0.023715</v>
      </c>
      <c r="I918" s="27">
        <v>0</v>
      </c>
    </row>
    <row r="919" spans="2:9">
      <c r="B919" t="s">
        <v>681</v>
      </c>
      <c r="C919" t="s">
        <v>833</v>
      </c>
      <c r="D919" t="s">
        <v>827</v>
      </c>
      <c r="E919" t="s">
        <v>830</v>
      </c>
      <c r="G919" s="26">
        <v>1.118812</v>
      </c>
      <c r="H919" s="26">
        <v>1.118812</v>
      </c>
      <c r="I919" s="27">
        <v>0</v>
      </c>
    </row>
    <row r="920" spans="2:9">
      <c r="B920" t="s">
        <v>719</v>
      </c>
      <c r="C920" t="s">
        <v>833</v>
      </c>
      <c r="D920" t="s">
        <v>827</v>
      </c>
      <c r="E920" t="s">
        <v>828</v>
      </c>
      <c r="F920" t="s">
        <v>720</v>
      </c>
      <c r="G920" s="26">
        <v>6.173178</v>
      </c>
      <c r="H920" s="26">
        <v>6.173178</v>
      </c>
      <c r="I920" s="27">
        <v>0</v>
      </c>
    </row>
    <row r="921" spans="2:9">
      <c r="B921" t="s">
        <v>32</v>
      </c>
      <c r="C921" t="s">
        <v>833</v>
      </c>
      <c r="D921" t="s">
        <v>827</v>
      </c>
      <c r="E921" t="s">
        <v>828</v>
      </c>
      <c r="F921" t="s">
        <v>33</v>
      </c>
      <c r="G921" s="26">
        <v>1.361242</v>
      </c>
      <c r="H921" s="26">
        <v>1.361242</v>
      </c>
      <c r="I921" s="27">
        <v>0</v>
      </c>
    </row>
    <row r="922" spans="2:9">
      <c r="B922" t="s">
        <v>622</v>
      </c>
      <c r="C922" t="s">
        <v>833</v>
      </c>
      <c r="D922" t="s">
        <v>827</v>
      </c>
      <c r="E922" t="s">
        <v>828</v>
      </c>
      <c r="F922" t="s">
        <v>623</v>
      </c>
      <c r="G922" s="26">
        <v>2.916</v>
      </c>
      <c r="H922" s="26">
        <v>2.916</v>
      </c>
      <c r="I922" s="27">
        <v>0</v>
      </c>
    </row>
    <row r="923" spans="2:9">
      <c r="B923" t="s">
        <v>523</v>
      </c>
      <c r="C923" t="s">
        <v>829</v>
      </c>
      <c r="D923" t="s">
        <v>827</v>
      </c>
      <c r="E923" t="s">
        <v>830</v>
      </c>
      <c r="G923" s="26">
        <v>256.646081</v>
      </c>
      <c r="H923" s="26">
        <v>256.646081</v>
      </c>
      <c r="I923" s="27">
        <v>0</v>
      </c>
    </row>
    <row r="924" spans="2:9">
      <c r="B924" t="s">
        <v>319</v>
      </c>
      <c r="C924" t="s">
        <v>833</v>
      </c>
      <c r="D924" t="s">
        <v>827</v>
      </c>
      <c r="E924" t="s">
        <v>830</v>
      </c>
      <c r="G924" s="26">
        <v>0.21613</v>
      </c>
      <c r="H924" s="26">
        <v>0.21613</v>
      </c>
      <c r="I924" s="27">
        <v>0</v>
      </c>
    </row>
    <row r="925" spans="2:9">
      <c r="B925" t="s">
        <v>49</v>
      </c>
      <c r="C925" t="s">
        <v>833</v>
      </c>
      <c r="D925" t="s">
        <v>827</v>
      </c>
      <c r="E925" t="s">
        <v>830</v>
      </c>
      <c r="G925" s="26">
        <v>0.1944</v>
      </c>
      <c r="H925" s="26">
        <v>0.1944</v>
      </c>
      <c r="I925" s="27">
        <v>0</v>
      </c>
    </row>
    <row r="926" spans="2:9">
      <c r="B926" t="s">
        <v>225</v>
      </c>
      <c r="C926" t="s">
        <v>826</v>
      </c>
      <c r="D926" t="s">
        <v>827</v>
      </c>
      <c r="E926" t="s">
        <v>830</v>
      </c>
      <c r="G926" s="26">
        <v>1.684222</v>
      </c>
      <c r="H926" s="26">
        <v>1.684222</v>
      </c>
      <c r="I926" s="27">
        <v>0</v>
      </c>
    </row>
    <row r="927" spans="2:9">
      <c r="B927" t="s">
        <v>449</v>
      </c>
      <c r="C927" t="s">
        <v>829</v>
      </c>
      <c r="D927" t="s">
        <v>827</v>
      </c>
      <c r="E927" t="s">
        <v>830</v>
      </c>
      <c r="G927" s="26">
        <v>5.919624</v>
      </c>
      <c r="H927" s="26">
        <v>5.919624</v>
      </c>
      <c r="I927" s="27">
        <v>0</v>
      </c>
    </row>
    <row r="928" spans="2:9">
      <c r="B928" t="s">
        <v>731</v>
      </c>
      <c r="C928" t="s">
        <v>833</v>
      </c>
      <c r="D928" t="s">
        <v>827</v>
      </c>
      <c r="E928" t="s">
        <v>830</v>
      </c>
      <c r="G928" s="26">
        <v>0.1944</v>
      </c>
      <c r="H928" s="26">
        <v>0.1944</v>
      </c>
      <c r="I928" s="27">
        <v>0</v>
      </c>
    </row>
    <row r="929" spans="2:9">
      <c r="B929" t="s">
        <v>131</v>
      </c>
      <c r="C929" t="s">
        <v>834</v>
      </c>
      <c r="D929" t="s">
        <v>827</v>
      </c>
      <c r="E929" t="s">
        <v>830</v>
      </c>
      <c r="G929" s="26">
        <v>2.25576</v>
      </c>
      <c r="H929" s="26">
        <v>2.25576</v>
      </c>
      <c r="I929" s="27">
        <v>0</v>
      </c>
    </row>
    <row r="930" spans="2:9">
      <c r="B930" t="s">
        <v>606</v>
      </c>
      <c r="C930" t="s">
        <v>833</v>
      </c>
      <c r="D930" t="s">
        <v>827</v>
      </c>
      <c r="E930" t="s">
        <v>830</v>
      </c>
      <c r="G930" s="26">
        <v>0.1944</v>
      </c>
      <c r="H930" s="26">
        <v>0.1944</v>
      </c>
      <c r="I930" s="27">
        <v>0</v>
      </c>
    </row>
    <row r="931" spans="2:9">
      <c r="B931" t="s">
        <v>135</v>
      </c>
      <c r="C931" t="s">
        <v>834</v>
      </c>
      <c r="D931" t="s">
        <v>827</v>
      </c>
      <c r="E931" t="s">
        <v>830</v>
      </c>
      <c r="G931" s="26">
        <v>0.53568</v>
      </c>
      <c r="H931" s="26">
        <v>0.53568</v>
      </c>
      <c r="I931" s="27">
        <v>0</v>
      </c>
    </row>
    <row r="932" spans="2:9">
      <c r="B932" t="s">
        <v>276</v>
      </c>
      <c r="C932" t="s">
        <v>832</v>
      </c>
      <c r="D932" t="s">
        <v>827</v>
      </c>
      <c r="E932" t="s">
        <v>830</v>
      </c>
      <c r="G932" s="26">
        <v>2.413286</v>
      </c>
      <c r="H932" s="26">
        <v>2.413286</v>
      </c>
      <c r="I932" s="27">
        <v>0</v>
      </c>
    </row>
    <row r="933" spans="2:9">
      <c r="B933" t="s">
        <v>210</v>
      </c>
      <c r="C933" t="s">
        <v>834</v>
      </c>
      <c r="D933" t="s">
        <v>827</v>
      </c>
      <c r="E933" t="s">
        <v>830</v>
      </c>
      <c r="G933" s="26">
        <v>1.474228</v>
      </c>
      <c r="H933" s="26">
        <v>1.474228</v>
      </c>
      <c r="I933" s="27">
        <v>0</v>
      </c>
    </row>
    <row r="934" spans="2:9">
      <c r="B934" t="s">
        <v>237</v>
      </c>
      <c r="C934" t="s">
        <v>834</v>
      </c>
      <c r="D934" t="s">
        <v>827</v>
      </c>
      <c r="E934" t="s">
        <v>830</v>
      </c>
      <c r="G934" s="26">
        <v>2.935576</v>
      </c>
      <c r="H934" s="26">
        <v>2.935576</v>
      </c>
      <c r="I934" s="27">
        <v>0</v>
      </c>
    </row>
    <row r="935" spans="2:9">
      <c r="B935" t="s">
        <v>223</v>
      </c>
      <c r="C935" t="s">
        <v>826</v>
      </c>
      <c r="D935" t="s">
        <v>827</v>
      </c>
      <c r="E935" t="s">
        <v>830</v>
      </c>
      <c r="G935" s="26">
        <v>270.50601</v>
      </c>
      <c r="H935" s="26">
        <v>270.50601</v>
      </c>
      <c r="I935" s="27">
        <v>0</v>
      </c>
    </row>
    <row r="936" spans="2:9">
      <c r="B936" t="s">
        <v>498</v>
      </c>
      <c r="C936" t="s">
        <v>834</v>
      </c>
      <c r="D936" t="s">
        <v>827</v>
      </c>
      <c r="E936" t="s">
        <v>830</v>
      </c>
      <c r="G936" s="26">
        <v>5.153779</v>
      </c>
      <c r="H936" s="26">
        <v>5.153779</v>
      </c>
      <c r="I936" s="27">
        <v>0</v>
      </c>
    </row>
    <row r="937" spans="2:9">
      <c r="B937" t="s">
        <v>791</v>
      </c>
      <c r="C937" t="s">
        <v>833</v>
      </c>
      <c r="D937" t="s">
        <v>827</v>
      </c>
      <c r="E937" t="s">
        <v>830</v>
      </c>
      <c r="G937" s="26">
        <v>0.10143</v>
      </c>
      <c r="H937" s="26">
        <v>0.10143</v>
      </c>
      <c r="I937" s="27">
        <v>0</v>
      </c>
    </row>
    <row r="938" spans="2:9">
      <c r="B938" t="s">
        <v>393</v>
      </c>
      <c r="C938" t="s">
        <v>829</v>
      </c>
      <c r="D938" t="s">
        <v>827</v>
      </c>
      <c r="E938" t="s">
        <v>830</v>
      </c>
      <c r="G938" s="26">
        <v>2.553226</v>
      </c>
      <c r="H938" s="26">
        <v>2.553226</v>
      </c>
      <c r="I938" s="27">
        <v>0</v>
      </c>
    </row>
    <row r="939" spans="2:9">
      <c r="B939" t="s">
        <v>143</v>
      </c>
      <c r="C939" t="s">
        <v>833</v>
      </c>
      <c r="D939" t="s">
        <v>827</v>
      </c>
      <c r="E939" t="s">
        <v>830</v>
      </c>
      <c r="G939" s="26">
        <v>6.503546</v>
      </c>
      <c r="H939" s="26">
        <v>6.503546</v>
      </c>
      <c r="I939" s="27">
        <v>0</v>
      </c>
    </row>
    <row r="940" spans="2:9">
      <c r="B940" t="s">
        <v>202</v>
      </c>
      <c r="C940" t="s">
        <v>829</v>
      </c>
      <c r="D940" t="s">
        <v>827</v>
      </c>
      <c r="E940" t="s">
        <v>830</v>
      </c>
      <c r="G940" s="26">
        <v>0.98201</v>
      </c>
      <c r="H940" s="26">
        <v>0.98201</v>
      </c>
      <c r="I940" s="27">
        <v>0</v>
      </c>
    </row>
    <row r="941" spans="2:9">
      <c r="B941" t="s">
        <v>81</v>
      </c>
      <c r="C941" t="s">
        <v>833</v>
      </c>
      <c r="D941" t="s">
        <v>827</v>
      </c>
      <c r="E941" t="s">
        <v>830</v>
      </c>
      <c r="G941" s="26">
        <v>0.1944</v>
      </c>
      <c r="H941" s="26">
        <v>0.1944</v>
      </c>
      <c r="I941" s="27">
        <v>0</v>
      </c>
    </row>
    <row r="942" spans="2:9">
      <c r="B942" t="s">
        <v>513</v>
      </c>
      <c r="C942" t="s">
        <v>826</v>
      </c>
      <c r="D942" t="s">
        <v>827</v>
      </c>
      <c r="E942" t="s">
        <v>828</v>
      </c>
      <c r="F942" t="s">
        <v>514</v>
      </c>
      <c r="G942" s="26">
        <v>39297.554922</v>
      </c>
      <c r="H942" s="26">
        <v>39297.554922</v>
      </c>
      <c r="I942" s="27">
        <v>0</v>
      </c>
    </row>
    <row r="943" spans="2:9">
      <c r="B943" t="s">
        <v>132</v>
      </c>
      <c r="C943" t="s">
        <v>834</v>
      </c>
      <c r="D943" t="s">
        <v>827</v>
      </c>
      <c r="E943" t="s">
        <v>830</v>
      </c>
      <c r="G943" s="26">
        <v>0.301783</v>
      </c>
      <c r="H943" s="26">
        <v>0.301783</v>
      </c>
      <c r="I943" s="27">
        <v>0</v>
      </c>
    </row>
    <row r="944" spans="2:9">
      <c r="B944" t="s">
        <v>343</v>
      </c>
      <c r="C944" t="s">
        <v>834</v>
      </c>
      <c r="D944" t="s">
        <v>827</v>
      </c>
      <c r="E944" t="s">
        <v>830</v>
      </c>
      <c r="G944" s="26">
        <v>1.973664</v>
      </c>
      <c r="H944" s="26">
        <v>1.973664</v>
      </c>
      <c r="I944" s="27">
        <v>0</v>
      </c>
    </row>
    <row r="945" spans="2:9">
      <c r="B945" t="s">
        <v>162</v>
      </c>
      <c r="C945" t="s">
        <v>834</v>
      </c>
      <c r="D945" t="s">
        <v>827</v>
      </c>
      <c r="E945" t="s">
        <v>830</v>
      </c>
      <c r="G945" s="26">
        <v>1.035573</v>
      </c>
      <c r="H945" s="26">
        <v>1.035573</v>
      </c>
      <c r="I945" s="27">
        <v>0</v>
      </c>
    </row>
    <row r="946" spans="2:9">
      <c r="B946" t="s">
        <v>653</v>
      </c>
      <c r="C946" t="s">
        <v>833</v>
      </c>
      <c r="D946" t="s">
        <v>827</v>
      </c>
      <c r="E946" t="s">
        <v>830</v>
      </c>
      <c r="G946" s="26">
        <v>0.44847</v>
      </c>
      <c r="H946" s="26">
        <v>0.44847</v>
      </c>
      <c r="I946" s="27">
        <v>0</v>
      </c>
    </row>
    <row r="947" spans="2:9">
      <c r="B947" t="s">
        <v>439</v>
      </c>
      <c r="C947" t="s">
        <v>834</v>
      </c>
      <c r="D947" t="s">
        <v>827</v>
      </c>
      <c r="E947" t="s">
        <v>830</v>
      </c>
      <c r="G947" s="26">
        <v>0.31212</v>
      </c>
      <c r="H947" s="26">
        <v>0.31212</v>
      </c>
      <c r="I947" s="27">
        <v>0</v>
      </c>
    </row>
    <row r="948" spans="2:9">
      <c r="B948" t="s">
        <v>504</v>
      </c>
      <c r="C948" t="s">
        <v>833</v>
      </c>
      <c r="D948" t="s">
        <v>827</v>
      </c>
      <c r="E948" t="s">
        <v>830</v>
      </c>
      <c r="G948" s="26">
        <v>6.475548</v>
      </c>
      <c r="H948" s="26">
        <v>6.475548</v>
      </c>
      <c r="I948" s="27">
        <v>0</v>
      </c>
    </row>
    <row r="949" spans="2:9">
      <c r="B949" t="s">
        <v>204</v>
      </c>
      <c r="C949" t="s">
        <v>834</v>
      </c>
      <c r="D949" t="s">
        <v>827</v>
      </c>
      <c r="E949" t="s">
        <v>830</v>
      </c>
      <c r="G949" s="26">
        <v>0.16309</v>
      </c>
      <c r="H949" s="26">
        <v>0.16309</v>
      </c>
      <c r="I949" s="27">
        <v>0</v>
      </c>
    </row>
    <row r="950" spans="2:9">
      <c r="B950" t="s">
        <v>259</v>
      </c>
      <c r="C950" t="s">
        <v>826</v>
      </c>
      <c r="D950" t="s">
        <v>827</v>
      </c>
      <c r="E950" t="s">
        <v>830</v>
      </c>
      <c r="G950" s="26">
        <v>1.723202</v>
      </c>
      <c r="H950" s="26">
        <v>1.723202</v>
      </c>
      <c r="I950" s="27">
        <v>0</v>
      </c>
    </row>
    <row r="951" spans="2:9">
      <c r="B951" t="s">
        <v>83</v>
      </c>
      <c r="C951" t="s">
        <v>834</v>
      </c>
      <c r="D951" t="s">
        <v>827</v>
      </c>
      <c r="E951" t="s">
        <v>830</v>
      </c>
      <c r="G951" s="26">
        <v>1.959058</v>
      </c>
      <c r="H951" s="26">
        <v>1.959058</v>
      </c>
      <c r="I951" s="27">
        <v>0</v>
      </c>
    </row>
    <row r="952" spans="2:9">
      <c r="B952" t="s">
        <v>227</v>
      </c>
      <c r="C952" t="s">
        <v>834</v>
      </c>
      <c r="D952" t="s">
        <v>827</v>
      </c>
      <c r="E952" t="s">
        <v>828</v>
      </c>
      <c r="F952" t="s">
        <v>228</v>
      </c>
      <c r="G952" s="26">
        <v>1.723476</v>
      </c>
      <c r="H952" s="26">
        <v>1.723476</v>
      </c>
      <c r="I952" s="27">
        <v>0</v>
      </c>
    </row>
    <row r="953" spans="2:9">
      <c r="B953" t="s">
        <v>116</v>
      </c>
      <c r="C953" t="s">
        <v>834</v>
      </c>
      <c r="D953" t="s">
        <v>827</v>
      </c>
      <c r="E953" t="s">
        <v>830</v>
      </c>
      <c r="G953" s="26">
        <v>3.15432</v>
      </c>
      <c r="H953" s="26">
        <v>3.15432</v>
      </c>
      <c r="I953" s="27">
        <v>0</v>
      </c>
    </row>
    <row r="954" spans="2:9">
      <c r="B954" t="s">
        <v>348</v>
      </c>
      <c r="C954" t="s">
        <v>834</v>
      </c>
      <c r="D954" t="s">
        <v>827</v>
      </c>
      <c r="E954" t="s">
        <v>830</v>
      </c>
      <c r="G954" s="26">
        <v>2.98262</v>
      </c>
      <c r="H954" s="26">
        <v>2.98262</v>
      </c>
      <c r="I954" s="27">
        <v>0</v>
      </c>
    </row>
    <row r="955" spans="2:9">
      <c r="B955" t="s">
        <v>149</v>
      </c>
      <c r="C955" t="s">
        <v>826</v>
      </c>
      <c r="D955" t="s">
        <v>827</v>
      </c>
      <c r="E955" t="s">
        <v>830</v>
      </c>
      <c r="G955" s="26">
        <v>45.070122</v>
      </c>
      <c r="H955" s="26">
        <v>45.070122</v>
      </c>
      <c r="I955" s="27">
        <v>0</v>
      </c>
    </row>
    <row r="956" spans="2:9">
      <c r="B956" t="s">
        <v>396</v>
      </c>
      <c r="C956" t="s">
        <v>834</v>
      </c>
      <c r="D956" t="s">
        <v>827</v>
      </c>
      <c r="E956" t="s">
        <v>830</v>
      </c>
      <c r="G956" s="26">
        <v>1.65907</v>
      </c>
      <c r="H956" s="26">
        <v>1.65907</v>
      </c>
      <c r="I956" s="27">
        <v>0</v>
      </c>
    </row>
    <row r="957" spans="2:9">
      <c r="B957" t="s">
        <v>425</v>
      </c>
      <c r="C957" t="s">
        <v>829</v>
      </c>
      <c r="D957" t="s">
        <v>827</v>
      </c>
      <c r="E957" t="s">
        <v>830</v>
      </c>
      <c r="G957" s="26">
        <v>1.89662</v>
      </c>
      <c r="H957" s="26">
        <v>1.89662</v>
      </c>
      <c r="I957" s="27">
        <v>0</v>
      </c>
    </row>
    <row r="958" spans="2:9">
      <c r="B958" t="s">
        <v>149</v>
      </c>
      <c r="C958" t="s">
        <v>834</v>
      </c>
      <c r="D958" t="s">
        <v>827</v>
      </c>
      <c r="E958" t="s">
        <v>830</v>
      </c>
      <c r="G958" s="26">
        <v>0.74379</v>
      </c>
      <c r="H958" s="26">
        <v>0.74379</v>
      </c>
      <c r="I958" s="27">
        <v>0</v>
      </c>
    </row>
    <row r="959" spans="2:9">
      <c r="B959" t="s">
        <v>351</v>
      </c>
      <c r="C959" t="s">
        <v>833</v>
      </c>
      <c r="D959" t="s">
        <v>827</v>
      </c>
      <c r="E959" t="s">
        <v>830</v>
      </c>
      <c r="G959" s="26">
        <v>0.623008</v>
      </c>
      <c r="H959" s="26">
        <v>0.623008</v>
      </c>
      <c r="I959" s="27">
        <v>0</v>
      </c>
    </row>
    <row r="960" spans="2:9">
      <c r="B960" t="s">
        <v>239</v>
      </c>
      <c r="C960" t="s">
        <v>834</v>
      </c>
      <c r="D960" t="s">
        <v>827</v>
      </c>
      <c r="E960" t="s">
        <v>830</v>
      </c>
      <c r="G960" s="26">
        <v>3.325425</v>
      </c>
      <c r="H960" s="26">
        <v>3.325425</v>
      </c>
      <c r="I960" s="27">
        <v>0</v>
      </c>
    </row>
    <row r="961" spans="2:9">
      <c r="B961" t="s">
        <v>436</v>
      </c>
      <c r="C961" t="s">
        <v>829</v>
      </c>
      <c r="D961" t="s">
        <v>827</v>
      </c>
      <c r="E961" t="s">
        <v>830</v>
      </c>
      <c r="G961" s="26">
        <v>3.188838</v>
      </c>
      <c r="H961" s="26">
        <v>3.188838</v>
      </c>
      <c r="I961" s="27">
        <v>0</v>
      </c>
    </row>
    <row r="962" spans="2:9">
      <c r="B962" t="s">
        <v>199</v>
      </c>
      <c r="C962" t="s">
        <v>829</v>
      </c>
      <c r="D962" t="s">
        <v>827</v>
      </c>
      <c r="E962" t="s">
        <v>830</v>
      </c>
      <c r="G962" s="26">
        <v>175.699708</v>
      </c>
      <c r="H962" s="26">
        <v>175.699708</v>
      </c>
      <c r="I962" s="27">
        <v>0</v>
      </c>
    </row>
    <row r="963" spans="2:9">
      <c r="B963" t="s">
        <v>250</v>
      </c>
      <c r="C963" t="s">
        <v>834</v>
      </c>
      <c r="D963" t="s">
        <v>827</v>
      </c>
      <c r="E963" t="s">
        <v>830</v>
      </c>
      <c r="G963" s="26">
        <v>5.817722</v>
      </c>
      <c r="H963" s="26">
        <v>5.817722</v>
      </c>
      <c r="I963" s="27">
        <v>0</v>
      </c>
    </row>
    <row r="964" spans="2:9">
      <c r="B964" t="s">
        <v>147</v>
      </c>
      <c r="C964" t="s">
        <v>834</v>
      </c>
      <c r="D964" t="s">
        <v>827</v>
      </c>
      <c r="E964" t="s">
        <v>830</v>
      </c>
      <c r="G964" s="26">
        <v>3.44232</v>
      </c>
      <c r="H964" s="26">
        <v>3.44232</v>
      </c>
      <c r="I964" s="27">
        <v>0</v>
      </c>
    </row>
    <row r="965" spans="2:9">
      <c r="B965" t="s">
        <v>425</v>
      </c>
      <c r="C965" t="s">
        <v>833</v>
      </c>
      <c r="D965" t="s">
        <v>827</v>
      </c>
      <c r="E965" t="s">
        <v>830</v>
      </c>
      <c r="G965" s="26">
        <v>0.068949</v>
      </c>
      <c r="H965" s="26">
        <v>0.068949</v>
      </c>
      <c r="I965" s="27">
        <v>0</v>
      </c>
    </row>
    <row r="966" spans="2:9">
      <c r="B966" t="s">
        <v>624</v>
      </c>
      <c r="C966" t="s">
        <v>834</v>
      </c>
      <c r="D966" t="s">
        <v>827</v>
      </c>
      <c r="E966" t="s">
        <v>830</v>
      </c>
      <c r="G966" s="26">
        <v>3.9636</v>
      </c>
      <c r="H966" s="26">
        <v>3.9636</v>
      </c>
      <c r="I966" s="27">
        <v>0</v>
      </c>
    </row>
    <row r="967" spans="2:9">
      <c r="B967" t="s">
        <v>143</v>
      </c>
      <c r="C967" t="s">
        <v>834</v>
      </c>
      <c r="D967" t="s">
        <v>827</v>
      </c>
      <c r="E967" t="s">
        <v>830</v>
      </c>
      <c r="G967" s="26">
        <v>10.771428</v>
      </c>
      <c r="H967" s="26">
        <v>10.771428</v>
      </c>
      <c r="I967" s="27">
        <v>0</v>
      </c>
    </row>
    <row r="968" spans="2:9">
      <c r="B968" t="s">
        <v>259</v>
      </c>
      <c r="C968" t="s">
        <v>834</v>
      </c>
      <c r="D968" t="s">
        <v>827</v>
      </c>
      <c r="E968" t="s">
        <v>830</v>
      </c>
      <c r="G968" s="26">
        <v>2.880752</v>
      </c>
      <c r="H968" s="26">
        <v>2.880752</v>
      </c>
      <c r="I968" s="27">
        <v>0</v>
      </c>
    </row>
    <row r="969" spans="2:9">
      <c r="B969" t="s">
        <v>150</v>
      </c>
      <c r="C969" t="s">
        <v>834</v>
      </c>
      <c r="D969" t="s">
        <v>827</v>
      </c>
      <c r="E969" t="s">
        <v>830</v>
      </c>
      <c r="G969" s="26">
        <v>3.58848</v>
      </c>
      <c r="H969" s="26">
        <v>3.58848</v>
      </c>
      <c r="I969" s="27">
        <v>0</v>
      </c>
    </row>
    <row r="970" spans="2:9">
      <c r="B970" t="s">
        <v>646</v>
      </c>
      <c r="C970" t="s">
        <v>833</v>
      </c>
      <c r="D970" t="s">
        <v>827</v>
      </c>
      <c r="E970" t="s">
        <v>830</v>
      </c>
      <c r="G970" s="26">
        <v>1.523452</v>
      </c>
      <c r="H970" s="26">
        <v>1.523452</v>
      </c>
      <c r="I970" s="27">
        <v>0</v>
      </c>
    </row>
    <row r="971" spans="2:9">
      <c r="B971" t="s">
        <v>479</v>
      </c>
      <c r="C971" t="s">
        <v>834</v>
      </c>
      <c r="D971" t="s">
        <v>827</v>
      </c>
      <c r="E971" t="s">
        <v>830</v>
      </c>
      <c r="G971" s="26">
        <v>2.49696</v>
      </c>
      <c r="H971" s="26">
        <v>2.49696</v>
      </c>
      <c r="I971" s="27">
        <v>0</v>
      </c>
    </row>
    <row r="972" spans="2:9">
      <c r="B972" t="s">
        <v>175</v>
      </c>
      <c r="C972" t="s">
        <v>834</v>
      </c>
      <c r="D972" t="s">
        <v>827</v>
      </c>
      <c r="E972" t="s">
        <v>830</v>
      </c>
      <c r="G972" s="27">
        <v>0.001488</v>
      </c>
      <c r="H972" s="27">
        <v>0.001488</v>
      </c>
      <c r="I972" s="27">
        <v>0</v>
      </c>
    </row>
    <row r="973" spans="2:9">
      <c r="B973" t="s">
        <v>781</v>
      </c>
      <c r="C973" t="s">
        <v>826</v>
      </c>
      <c r="D973" t="s">
        <v>827</v>
      </c>
      <c r="E973" t="s">
        <v>830</v>
      </c>
      <c r="G973" s="26">
        <v>0.231102</v>
      </c>
      <c r="H973" s="26">
        <v>0.231102</v>
      </c>
      <c r="I973" s="27">
        <v>0</v>
      </c>
    </row>
    <row r="974" spans="2:9">
      <c r="B974" t="s">
        <v>425</v>
      </c>
      <c r="C974" t="s">
        <v>826</v>
      </c>
      <c r="D974" t="s">
        <v>827</v>
      </c>
      <c r="E974" t="s">
        <v>830</v>
      </c>
      <c r="G974" s="26">
        <v>0.152848</v>
      </c>
      <c r="H974" s="26">
        <v>0.152848</v>
      </c>
      <c r="I974" s="27">
        <v>0</v>
      </c>
    </row>
    <row r="975" spans="2:9">
      <c r="B975" t="s">
        <v>495</v>
      </c>
      <c r="C975" t="s">
        <v>834</v>
      </c>
      <c r="D975" t="s">
        <v>827</v>
      </c>
      <c r="E975" t="s">
        <v>830</v>
      </c>
      <c r="G975" s="26">
        <v>0.520398</v>
      </c>
      <c r="H975" s="26">
        <v>0.520398</v>
      </c>
      <c r="I975" s="27">
        <v>0</v>
      </c>
    </row>
    <row r="976" spans="2:9">
      <c r="B976" t="s">
        <v>405</v>
      </c>
      <c r="C976" t="s">
        <v>834</v>
      </c>
      <c r="D976" t="s">
        <v>827</v>
      </c>
      <c r="E976" t="s">
        <v>830</v>
      </c>
      <c r="G976" s="26">
        <v>0.34356</v>
      </c>
      <c r="H976" s="26">
        <v>0.34356</v>
      </c>
      <c r="I976" s="27">
        <v>0</v>
      </c>
    </row>
    <row r="977" spans="2:9">
      <c r="B977" t="s">
        <v>723</v>
      </c>
      <c r="C977" t="s">
        <v>833</v>
      </c>
      <c r="D977" t="s">
        <v>827</v>
      </c>
      <c r="E977" t="s">
        <v>830</v>
      </c>
      <c r="G977" s="26">
        <v>5.005815</v>
      </c>
      <c r="H977" s="26">
        <v>5.005815</v>
      </c>
      <c r="I977" s="27">
        <v>0</v>
      </c>
    </row>
    <row r="978" spans="2:9">
      <c r="B978" t="s">
        <v>124</v>
      </c>
      <c r="C978" t="s">
        <v>834</v>
      </c>
      <c r="D978" t="s">
        <v>827</v>
      </c>
      <c r="E978" t="s">
        <v>830</v>
      </c>
      <c r="G978" s="26">
        <v>2.57616</v>
      </c>
      <c r="H978" s="26">
        <v>2.57616</v>
      </c>
      <c r="I978" s="27">
        <v>0</v>
      </c>
    </row>
    <row r="979" spans="2:9">
      <c r="B979" t="s">
        <v>161</v>
      </c>
      <c r="C979" t="s">
        <v>833</v>
      </c>
      <c r="D979" t="s">
        <v>827</v>
      </c>
      <c r="E979" t="s">
        <v>830</v>
      </c>
      <c r="G979" s="26">
        <v>0.15804</v>
      </c>
      <c r="H979" s="26">
        <v>0.15804</v>
      </c>
      <c r="I979" s="27">
        <v>0</v>
      </c>
    </row>
    <row r="980" spans="2:9">
      <c r="B980" t="s">
        <v>552</v>
      </c>
      <c r="C980" t="s">
        <v>834</v>
      </c>
      <c r="D980" t="s">
        <v>827</v>
      </c>
      <c r="E980" t="s">
        <v>830</v>
      </c>
      <c r="G980" s="26">
        <v>3.67488</v>
      </c>
      <c r="H980" s="26">
        <v>3.67488</v>
      </c>
      <c r="I980" s="27">
        <v>0</v>
      </c>
    </row>
    <row r="981" spans="2:9">
      <c r="B981" t="s">
        <v>513</v>
      </c>
      <c r="C981" t="s">
        <v>833</v>
      </c>
      <c r="D981" t="s">
        <v>827</v>
      </c>
      <c r="E981" t="s">
        <v>828</v>
      </c>
      <c r="F981" t="s">
        <v>514</v>
      </c>
      <c r="G981" s="26">
        <v>0.341246</v>
      </c>
      <c r="H981" s="26">
        <v>0.341246</v>
      </c>
      <c r="I981" s="27">
        <v>0</v>
      </c>
    </row>
    <row r="982" spans="2:9">
      <c r="B982" t="s">
        <v>273</v>
      </c>
      <c r="C982" t="s">
        <v>834</v>
      </c>
      <c r="D982" t="s">
        <v>827</v>
      </c>
      <c r="E982" t="s">
        <v>830</v>
      </c>
      <c r="G982" s="26">
        <v>5.540531</v>
      </c>
      <c r="H982" s="26">
        <v>5.540531</v>
      </c>
      <c r="I982" s="27">
        <v>0</v>
      </c>
    </row>
    <row r="983" spans="2:9">
      <c r="B983" t="s">
        <v>521</v>
      </c>
      <c r="C983" t="s">
        <v>833</v>
      </c>
      <c r="D983" t="s">
        <v>827</v>
      </c>
      <c r="E983" t="s">
        <v>830</v>
      </c>
      <c r="G983" s="26">
        <v>0.1944</v>
      </c>
      <c r="H983" s="26">
        <v>0.1944</v>
      </c>
      <c r="I983" s="27">
        <v>0</v>
      </c>
    </row>
    <row r="984" spans="2:9">
      <c r="B984" t="s">
        <v>593</v>
      </c>
      <c r="C984" t="s">
        <v>833</v>
      </c>
      <c r="D984" t="s">
        <v>827</v>
      </c>
      <c r="E984" t="s">
        <v>828</v>
      </c>
      <c r="F984" t="s">
        <v>594</v>
      </c>
      <c r="G984" s="26">
        <v>1.7496</v>
      </c>
      <c r="H984" s="26">
        <v>1.7496</v>
      </c>
      <c r="I984" s="27">
        <v>0</v>
      </c>
    </row>
    <row r="985" spans="2:9">
      <c r="B985" t="s">
        <v>674</v>
      </c>
      <c r="C985" t="s">
        <v>833</v>
      </c>
      <c r="D985" t="s">
        <v>827</v>
      </c>
      <c r="E985" t="s">
        <v>830</v>
      </c>
      <c r="G985" s="26">
        <v>2.28511</v>
      </c>
      <c r="H985" s="26">
        <v>2.28511</v>
      </c>
      <c r="I985" s="27">
        <v>0</v>
      </c>
    </row>
    <row r="986" spans="2:9">
      <c r="B986" t="s">
        <v>206</v>
      </c>
      <c r="C986" t="s">
        <v>833</v>
      </c>
      <c r="D986" t="s">
        <v>827</v>
      </c>
      <c r="E986" t="s">
        <v>830</v>
      </c>
      <c r="G986" s="26">
        <v>0.139455</v>
      </c>
      <c r="H986" s="26">
        <v>0.139455</v>
      </c>
      <c r="I986" s="27">
        <v>0</v>
      </c>
    </row>
    <row r="987" spans="2:9">
      <c r="B987" t="s">
        <v>719</v>
      </c>
      <c r="C987" t="s">
        <v>834</v>
      </c>
      <c r="D987" t="s">
        <v>827</v>
      </c>
      <c r="E987" t="s">
        <v>828</v>
      </c>
      <c r="F987" t="s">
        <v>720</v>
      </c>
      <c r="G987" s="26">
        <v>3.59928</v>
      </c>
      <c r="H987" s="26">
        <v>3.59928</v>
      </c>
      <c r="I987" s="27">
        <v>0</v>
      </c>
    </row>
    <row r="988" spans="2:9">
      <c r="B988" t="s">
        <v>100</v>
      </c>
      <c r="C988" t="s">
        <v>833</v>
      </c>
      <c r="D988" t="s">
        <v>827</v>
      </c>
      <c r="E988" t="s">
        <v>830</v>
      </c>
      <c r="G988" s="26">
        <v>1.118778</v>
      </c>
      <c r="H988" s="26">
        <v>1.118778</v>
      </c>
      <c r="I988" s="27">
        <v>0</v>
      </c>
    </row>
    <row r="989" spans="2:9">
      <c r="B989" t="s">
        <v>706</v>
      </c>
      <c r="C989" t="s">
        <v>834</v>
      </c>
      <c r="D989" t="s">
        <v>827</v>
      </c>
      <c r="E989" t="s">
        <v>830</v>
      </c>
      <c r="G989" s="26">
        <v>0.147935</v>
      </c>
      <c r="H989" s="26">
        <v>0.147935</v>
      </c>
      <c r="I989" s="27">
        <v>0</v>
      </c>
    </row>
    <row r="990" spans="2:9">
      <c r="B990" t="s">
        <v>452</v>
      </c>
      <c r="C990" t="s">
        <v>829</v>
      </c>
      <c r="D990" t="s">
        <v>827</v>
      </c>
      <c r="E990" t="s">
        <v>830</v>
      </c>
      <c r="G990" s="27">
        <v>5.002044</v>
      </c>
      <c r="H990" s="27">
        <v>5.002044</v>
      </c>
      <c r="I990" s="27">
        <v>0</v>
      </c>
    </row>
    <row r="991" spans="2:9">
      <c r="B991" t="s">
        <v>385</v>
      </c>
      <c r="C991" t="s">
        <v>826</v>
      </c>
      <c r="D991" t="s">
        <v>827</v>
      </c>
      <c r="E991" t="s">
        <v>830</v>
      </c>
      <c r="G991" s="26">
        <v>55.084735</v>
      </c>
      <c r="H991" s="26">
        <v>55.084735</v>
      </c>
      <c r="I991" s="27">
        <v>0</v>
      </c>
    </row>
    <row r="992" spans="2:9">
      <c r="B992" t="s">
        <v>279</v>
      </c>
      <c r="C992" t="s">
        <v>834</v>
      </c>
      <c r="D992" t="s">
        <v>827</v>
      </c>
      <c r="E992" t="s">
        <v>830</v>
      </c>
      <c r="G992" s="26">
        <v>0.144342</v>
      </c>
      <c r="H992" s="26">
        <v>0.144342</v>
      </c>
      <c r="I992" s="27">
        <v>0</v>
      </c>
    </row>
    <row r="993" spans="2:9">
      <c r="B993" t="s">
        <v>363</v>
      </c>
      <c r="C993" t="s">
        <v>826</v>
      </c>
      <c r="D993" t="s">
        <v>827</v>
      </c>
      <c r="E993" t="s">
        <v>830</v>
      </c>
      <c r="G993" s="26">
        <v>5.804496</v>
      </c>
      <c r="H993" s="26">
        <v>5.804496</v>
      </c>
      <c r="I993" s="27">
        <v>0</v>
      </c>
    </row>
    <row r="994" spans="2:9">
      <c r="B994" t="s">
        <v>558</v>
      </c>
      <c r="C994" t="s">
        <v>834</v>
      </c>
      <c r="D994" t="s">
        <v>827</v>
      </c>
      <c r="E994" t="s">
        <v>830</v>
      </c>
      <c r="G994" s="26">
        <v>5.89392</v>
      </c>
      <c r="H994" s="26">
        <v>5.89392</v>
      </c>
      <c r="I994" s="27">
        <v>0</v>
      </c>
    </row>
    <row r="995" spans="2:9">
      <c r="B995" t="s">
        <v>276</v>
      </c>
      <c r="C995" t="s">
        <v>834</v>
      </c>
      <c r="D995" t="s">
        <v>827</v>
      </c>
      <c r="E995" t="s">
        <v>830</v>
      </c>
      <c r="G995" s="26">
        <v>5.363291</v>
      </c>
      <c r="H995" s="26">
        <v>5.363291</v>
      </c>
      <c r="I995" s="27">
        <v>0</v>
      </c>
    </row>
    <row r="996" spans="2:9">
      <c r="B996" t="s">
        <v>354</v>
      </c>
      <c r="C996" t="s">
        <v>829</v>
      </c>
      <c r="D996" t="s">
        <v>827</v>
      </c>
      <c r="E996" t="s">
        <v>830</v>
      </c>
      <c r="G996" s="26">
        <v>0.00932</v>
      </c>
      <c r="H996" s="26">
        <v>0.00932</v>
      </c>
      <c r="I996" s="27">
        <v>0</v>
      </c>
    </row>
    <row r="997" spans="2:9">
      <c r="B997" t="s">
        <v>369</v>
      </c>
      <c r="C997" t="s">
        <v>834</v>
      </c>
      <c r="D997" t="s">
        <v>827</v>
      </c>
      <c r="E997" t="s">
        <v>830</v>
      </c>
      <c r="G997" s="26">
        <v>2.523576</v>
      </c>
      <c r="H997" s="26">
        <v>2.523576</v>
      </c>
      <c r="I997" s="27">
        <v>0</v>
      </c>
    </row>
    <row r="998" spans="2:9">
      <c r="B998" t="s">
        <v>392</v>
      </c>
      <c r="C998" t="s">
        <v>829</v>
      </c>
      <c r="D998" t="s">
        <v>827</v>
      </c>
      <c r="E998" t="s">
        <v>830</v>
      </c>
      <c r="G998" s="26">
        <v>1.88264</v>
      </c>
      <c r="H998" s="26">
        <v>1.88264</v>
      </c>
      <c r="I998" s="27">
        <v>0</v>
      </c>
    </row>
    <row r="999" spans="2:9">
      <c r="B999" t="s">
        <v>373</v>
      </c>
      <c r="C999" t="s">
        <v>834</v>
      </c>
      <c r="D999" t="s">
        <v>827</v>
      </c>
      <c r="E999" t="s">
        <v>830</v>
      </c>
      <c r="G999" s="26">
        <v>1.559992</v>
      </c>
      <c r="H999" s="26">
        <v>1.559992</v>
      </c>
      <c r="I999" s="27">
        <v>0</v>
      </c>
    </row>
    <row r="1000" spans="2:9">
      <c r="B1000" t="s">
        <v>419</v>
      </c>
      <c r="C1000" t="s">
        <v>829</v>
      </c>
      <c r="D1000" t="s">
        <v>827</v>
      </c>
      <c r="E1000" t="s">
        <v>830</v>
      </c>
      <c r="G1000" s="26">
        <v>7.79547</v>
      </c>
      <c r="H1000" s="26">
        <v>7.79547</v>
      </c>
      <c r="I1000" s="27">
        <v>0</v>
      </c>
    </row>
    <row r="1001" spans="2:9">
      <c r="B1001" t="s">
        <v>265</v>
      </c>
      <c r="C1001" t="s">
        <v>834</v>
      </c>
      <c r="D1001" t="s">
        <v>827</v>
      </c>
      <c r="E1001" t="s">
        <v>828</v>
      </c>
      <c r="F1001" t="s">
        <v>266</v>
      </c>
      <c r="G1001" s="26">
        <v>0.548485</v>
      </c>
      <c r="H1001" s="26">
        <v>0.548485</v>
      </c>
      <c r="I1001" s="27">
        <v>0</v>
      </c>
    </row>
    <row r="1002" spans="2:9">
      <c r="B1002" t="s">
        <v>565</v>
      </c>
      <c r="C1002" t="s">
        <v>834</v>
      </c>
      <c r="D1002" t="s">
        <v>827</v>
      </c>
      <c r="E1002" t="s">
        <v>830</v>
      </c>
      <c r="G1002" s="26">
        <v>5.724</v>
      </c>
      <c r="H1002" s="26">
        <v>5.724</v>
      </c>
      <c r="I1002" s="27">
        <v>0</v>
      </c>
    </row>
    <row r="1003" spans="2:9">
      <c r="B1003" t="s">
        <v>445</v>
      </c>
      <c r="C1003" t="s">
        <v>829</v>
      </c>
      <c r="D1003" t="s">
        <v>827</v>
      </c>
      <c r="E1003" t="s">
        <v>830</v>
      </c>
      <c r="G1003" s="26">
        <v>3.444672</v>
      </c>
      <c r="H1003" s="26">
        <v>3.444672</v>
      </c>
      <c r="I1003" s="27">
        <v>0</v>
      </c>
    </row>
    <row r="1004" spans="2:9">
      <c r="B1004" t="s">
        <v>463</v>
      </c>
      <c r="C1004" t="s">
        <v>834</v>
      </c>
      <c r="D1004" t="s">
        <v>827</v>
      </c>
      <c r="E1004" t="s">
        <v>830</v>
      </c>
      <c r="G1004" s="26">
        <v>2.048116</v>
      </c>
      <c r="H1004" s="26">
        <v>2.048116</v>
      </c>
      <c r="I1004" s="27">
        <v>0</v>
      </c>
    </row>
    <row r="1005" spans="2:9">
      <c r="B1005" t="s">
        <v>781</v>
      </c>
      <c r="C1005" t="s">
        <v>829</v>
      </c>
      <c r="D1005" t="s">
        <v>827</v>
      </c>
      <c r="E1005" t="s">
        <v>830</v>
      </c>
      <c r="G1005" s="26">
        <v>66.14254</v>
      </c>
      <c r="H1005" s="26">
        <v>66.14254</v>
      </c>
      <c r="I1005" s="27">
        <v>0</v>
      </c>
    </row>
    <row r="1006" spans="2:9">
      <c r="B1006" t="s">
        <v>796</v>
      </c>
      <c r="C1006" t="s">
        <v>834</v>
      </c>
      <c r="D1006" t="s">
        <v>827</v>
      </c>
      <c r="E1006" t="s">
        <v>830</v>
      </c>
      <c r="G1006" s="26">
        <v>3.48408</v>
      </c>
      <c r="H1006" s="26">
        <v>3.48408</v>
      </c>
      <c r="I1006" s="27">
        <v>0</v>
      </c>
    </row>
    <row r="1007" spans="2:9">
      <c r="B1007" t="s">
        <v>205</v>
      </c>
      <c r="C1007" t="s">
        <v>833</v>
      </c>
      <c r="D1007" t="s">
        <v>827</v>
      </c>
      <c r="E1007" t="s">
        <v>830</v>
      </c>
      <c r="G1007" s="26">
        <v>0.605729</v>
      </c>
      <c r="H1007" s="26">
        <v>0.605729</v>
      </c>
      <c r="I1007" s="27">
        <v>0</v>
      </c>
    </row>
    <row r="1008" spans="2:9">
      <c r="B1008" t="s">
        <v>479</v>
      </c>
      <c r="C1008" t="s">
        <v>833</v>
      </c>
      <c r="D1008" t="s">
        <v>827</v>
      </c>
      <c r="E1008" t="s">
        <v>830</v>
      </c>
      <c r="G1008" s="26">
        <v>0.1944</v>
      </c>
      <c r="H1008" s="26">
        <v>0.1944</v>
      </c>
      <c r="I1008" s="27">
        <v>0</v>
      </c>
    </row>
    <row r="1009" spans="2:9">
      <c r="B1009" t="s">
        <v>469</v>
      </c>
      <c r="C1009" t="s">
        <v>833</v>
      </c>
      <c r="D1009" t="s">
        <v>827</v>
      </c>
      <c r="E1009" t="s">
        <v>830</v>
      </c>
      <c r="G1009" s="26">
        <v>4.386586</v>
      </c>
      <c r="H1009" s="26">
        <v>4.386586</v>
      </c>
      <c r="I1009" s="27">
        <v>0</v>
      </c>
    </row>
    <row r="1010" spans="2:9">
      <c r="B1010" t="s">
        <v>490</v>
      </c>
      <c r="C1010" t="s">
        <v>833</v>
      </c>
      <c r="D1010" t="s">
        <v>827</v>
      </c>
      <c r="E1010" t="s">
        <v>828</v>
      </c>
      <c r="F1010" t="s">
        <v>491</v>
      </c>
      <c r="G1010" s="26">
        <v>0.341144</v>
      </c>
      <c r="H1010" s="26">
        <v>0.341144</v>
      </c>
      <c r="I1010" s="27">
        <v>0</v>
      </c>
    </row>
    <row r="1011" spans="2:9">
      <c r="B1011" t="s">
        <v>513</v>
      </c>
      <c r="C1011" t="s">
        <v>834</v>
      </c>
      <c r="D1011" t="s">
        <v>827</v>
      </c>
      <c r="E1011" t="s">
        <v>828</v>
      </c>
      <c r="F1011" t="s">
        <v>514</v>
      </c>
      <c r="G1011" s="26">
        <v>154.75549</v>
      </c>
      <c r="H1011" s="26">
        <v>154.75549</v>
      </c>
      <c r="I1011" s="27">
        <v>0</v>
      </c>
    </row>
    <row r="1012" spans="2:9">
      <c r="B1012" t="s">
        <v>531</v>
      </c>
      <c r="C1012" t="s">
        <v>833</v>
      </c>
      <c r="D1012" t="s">
        <v>827</v>
      </c>
      <c r="E1012" t="s">
        <v>830</v>
      </c>
      <c r="G1012" s="26">
        <v>0.1944</v>
      </c>
      <c r="H1012" s="26">
        <v>0.1944</v>
      </c>
      <c r="I1012" s="27">
        <v>0</v>
      </c>
    </row>
    <row r="1013" spans="2:9">
      <c r="B1013" t="s">
        <v>560</v>
      </c>
      <c r="C1013" t="s">
        <v>833</v>
      </c>
      <c r="D1013" t="s">
        <v>827</v>
      </c>
      <c r="E1013" t="s">
        <v>830</v>
      </c>
      <c r="G1013" s="26">
        <v>0.1944</v>
      </c>
      <c r="H1013" s="26">
        <v>0.1944</v>
      </c>
      <c r="I1013" s="27">
        <v>0</v>
      </c>
    </row>
    <row r="1014" spans="2:9">
      <c r="B1014" t="s">
        <v>655</v>
      </c>
      <c r="C1014" t="s">
        <v>833</v>
      </c>
      <c r="D1014" t="s">
        <v>827</v>
      </c>
      <c r="E1014" t="s">
        <v>830</v>
      </c>
      <c r="G1014" s="26">
        <v>0.972</v>
      </c>
      <c r="H1014" s="26">
        <v>0.972</v>
      </c>
      <c r="I1014" s="27">
        <v>0</v>
      </c>
    </row>
    <row r="1015" spans="2:9">
      <c r="B1015" t="s">
        <v>579</v>
      </c>
      <c r="C1015" t="s">
        <v>832</v>
      </c>
      <c r="D1015" t="s">
        <v>827</v>
      </c>
      <c r="E1015" t="s">
        <v>828</v>
      </c>
      <c r="F1015" t="s">
        <v>580</v>
      </c>
      <c r="G1015" s="26">
        <v>0.14688</v>
      </c>
      <c r="H1015" s="26">
        <v>0.14688</v>
      </c>
      <c r="I1015" s="27">
        <v>0</v>
      </c>
    </row>
    <row r="1016" spans="2:9">
      <c r="B1016" t="s">
        <v>402</v>
      </c>
      <c r="C1016" t="s">
        <v>833</v>
      </c>
      <c r="D1016" t="s">
        <v>827</v>
      </c>
      <c r="E1016" t="s">
        <v>830</v>
      </c>
      <c r="G1016" s="26">
        <v>1.341527</v>
      </c>
      <c r="H1016" s="26">
        <v>1.341527</v>
      </c>
      <c r="I1016" s="27">
        <v>0</v>
      </c>
    </row>
    <row r="1017" spans="2:9">
      <c r="B1017" t="s">
        <v>725</v>
      </c>
      <c r="C1017" t="s">
        <v>834</v>
      </c>
      <c r="D1017" t="s">
        <v>827</v>
      </c>
      <c r="E1017" t="s">
        <v>830</v>
      </c>
      <c r="G1017" s="26">
        <v>6.350336</v>
      </c>
      <c r="H1017" s="26">
        <v>6.350336</v>
      </c>
      <c r="I1017" s="27">
        <v>0</v>
      </c>
    </row>
    <row r="1018" spans="2:9">
      <c r="B1018" t="s">
        <v>55</v>
      </c>
      <c r="C1018" t="s">
        <v>834</v>
      </c>
      <c r="D1018" t="s">
        <v>827</v>
      </c>
      <c r="E1018" t="s">
        <v>828</v>
      </c>
      <c r="F1018" t="s">
        <v>56</v>
      </c>
      <c r="G1018" s="26">
        <v>4.00824</v>
      </c>
      <c r="H1018" s="26">
        <v>4.00824</v>
      </c>
      <c r="I1018" s="27">
        <v>0</v>
      </c>
    </row>
    <row r="1019" spans="2:9">
      <c r="B1019" t="s">
        <v>433</v>
      </c>
      <c r="C1019" t="s">
        <v>834</v>
      </c>
      <c r="D1019" t="s">
        <v>827</v>
      </c>
      <c r="E1019" t="s">
        <v>830</v>
      </c>
      <c r="G1019" s="26">
        <v>1.815722</v>
      </c>
      <c r="H1019" s="26">
        <v>1.815722</v>
      </c>
      <c r="I1019" s="27">
        <v>0</v>
      </c>
    </row>
    <row r="1020" spans="2:9">
      <c r="B1020" t="s">
        <v>199</v>
      </c>
      <c r="C1020" t="s">
        <v>826</v>
      </c>
      <c r="D1020" t="s">
        <v>827</v>
      </c>
      <c r="E1020" t="s">
        <v>830</v>
      </c>
      <c r="G1020" s="26">
        <v>673.776347</v>
      </c>
      <c r="H1020" s="26">
        <v>673.776347</v>
      </c>
      <c r="I1020" s="27">
        <v>0</v>
      </c>
    </row>
    <row r="1021" spans="2:9">
      <c r="B1021" t="s">
        <v>427</v>
      </c>
      <c r="C1021" t="s">
        <v>833</v>
      </c>
      <c r="D1021" t="s">
        <v>827</v>
      </c>
      <c r="E1021" t="s">
        <v>830</v>
      </c>
      <c r="G1021" s="26">
        <v>0.149116</v>
      </c>
      <c r="H1021" s="26">
        <v>0.149116</v>
      </c>
      <c r="I1021" s="27">
        <v>0</v>
      </c>
    </row>
    <row r="1022" spans="2:9">
      <c r="B1022" t="s">
        <v>710</v>
      </c>
      <c r="C1022" t="s">
        <v>834</v>
      </c>
      <c r="D1022" t="s">
        <v>827</v>
      </c>
      <c r="E1022" t="s">
        <v>830</v>
      </c>
      <c r="G1022" s="26">
        <v>3.59496</v>
      </c>
      <c r="H1022" s="26">
        <v>3.59496</v>
      </c>
      <c r="I1022" s="27">
        <v>0</v>
      </c>
    </row>
    <row r="1023" spans="2:9">
      <c r="B1023" t="s">
        <v>528</v>
      </c>
      <c r="C1023" t="s">
        <v>832</v>
      </c>
      <c r="D1023" t="s">
        <v>827</v>
      </c>
      <c r="E1023" t="s">
        <v>828</v>
      </c>
      <c r="F1023" t="s">
        <v>529</v>
      </c>
      <c r="G1023" s="26">
        <v>0.305252</v>
      </c>
      <c r="H1023" s="26">
        <v>0.305252</v>
      </c>
      <c r="I1023" s="27">
        <v>0</v>
      </c>
    </row>
    <row r="1024" spans="2:9">
      <c r="B1024" t="s">
        <v>198</v>
      </c>
      <c r="C1024" t="s">
        <v>834</v>
      </c>
      <c r="D1024" t="s">
        <v>827</v>
      </c>
      <c r="E1024" t="s">
        <v>830</v>
      </c>
      <c r="G1024" s="26">
        <v>6.505019</v>
      </c>
      <c r="H1024" s="26">
        <v>6.505019</v>
      </c>
      <c r="I1024" s="27">
        <v>0</v>
      </c>
    </row>
    <row r="1025" spans="2:9">
      <c r="B1025" t="s">
        <v>648</v>
      </c>
      <c r="C1025" t="s">
        <v>833</v>
      </c>
      <c r="D1025" t="s">
        <v>827</v>
      </c>
      <c r="E1025" t="s">
        <v>828</v>
      </c>
      <c r="F1025" t="s">
        <v>649</v>
      </c>
      <c r="G1025" s="26">
        <v>0.876824</v>
      </c>
      <c r="H1025" s="26">
        <v>0.876824</v>
      </c>
      <c r="I1025" s="27">
        <v>0</v>
      </c>
    </row>
    <row r="1026" spans="2:9">
      <c r="B1026" t="s">
        <v>363</v>
      </c>
      <c r="C1026" t="s">
        <v>834</v>
      </c>
      <c r="D1026" t="s">
        <v>827</v>
      </c>
      <c r="E1026" t="s">
        <v>830</v>
      </c>
      <c r="G1026" s="26">
        <v>1.206672</v>
      </c>
      <c r="H1026" s="26">
        <v>1.206672</v>
      </c>
      <c r="I1026" s="27">
        <v>0</v>
      </c>
    </row>
    <row r="1027" spans="2:9">
      <c r="B1027" t="s">
        <v>713</v>
      </c>
      <c r="C1027" t="s">
        <v>833</v>
      </c>
      <c r="D1027" t="s">
        <v>827</v>
      </c>
      <c r="E1027" t="s">
        <v>830</v>
      </c>
      <c r="G1027" s="26">
        <v>0.1944</v>
      </c>
      <c r="H1027" s="26">
        <v>0.1944</v>
      </c>
      <c r="I1027" s="27">
        <v>0</v>
      </c>
    </row>
    <row r="1028" spans="2:9">
      <c r="B1028" t="s">
        <v>593</v>
      </c>
      <c r="C1028" t="s">
        <v>834</v>
      </c>
      <c r="D1028" t="s">
        <v>827</v>
      </c>
      <c r="E1028" t="s">
        <v>828</v>
      </c>
      <c r="F1028" t="s">
        <v>594</v>
      </c>
      <c r="G1028" s="26">
        <v>3.69576</v>
      </c>
      <c r="H1028" s="26">
        <v>3.69576</v>
      </c>
      <c r="I1028" s="27">
        <v>0</v>
      </c>
    </row>
    <row r="1029" spans="2:9">
      <c r="B1029" t="s">
        <v>271</v>
      </c>
      <c r="C1029" t="s">
        <v>833</v>
      </c>
      <c r="D1029" t="s">
        <v>827</v>
      </c>
      <c r="E1029" t="s">
        <v>828</v>
      </c>
      <c r="F1029" t="s">
        <v>272</v>
      </c>
      <c r="G1029" s="26">
        <v>0.09783</v>
      </c>
      <c r="H1029" s="26">
        <v>0.09783</v>
      </c>
      <c r="I1029" s="27">
        <v>0</v>
      </c>
    </row>
    <row r="1030" spans="2:9">
      <c r="B1030" t="s">
        <v>148</v>
      </c>
      <c r="C1030" t="s">
        <v>834</v>
      </c>
      <c r="D1030" t="s">
        <v>827</v>
      </c>
      <c r="E1030" t="s">
        <v>830</v>
      </c>
      <c r="G1030" s="26">
        <v>3.46896</v>
      </c>
      <c r="H1030" s="26">
        <v>3.46896</v>
      </c>
      <c r="I1030" s="27">
        <v>0</v>
      </c>
    </row>
    <row r="1031" spans="2:9">
      <c r="B1031" t="s">
        <v>445</v>
      </c>
      <c r="C1031" t="s">
        <v>834</v>
      </c>
      <c r="D1031" t="s">
        <v>827</v>
      </c>
      <c r="E1031" t="s">
        <v>830</v>
      </c>
      <c r="G1031" s="26">
        <v>5.080717</v>
      </c>
      <c r="H1031" s="26">
        <v>5.080717</v>
      </c>
      <c r="I1031" s="27">
        <v>0</v>
      </c>
    </row>
    <row r="1032" spans="2:9">
      <c r="B1032" t="s">
        <v>325</v>
      </c>
      <c r="C1032" t="s">
        <v>833</v>
      </c>
      <c r="D1032" t="s">
        <v>827</v>
      </c>
      <c r="E1032" t="s">
        <v>830</v>
      </c>
      <c r="G1032" s="26">
        <v>5.544712</v>
      </c>
      <c r="H1032" s="26">
        <v>5.544712</v>
      </c>
      <c r="I1032" s="27">
        <v>0</v>
      </c>
    </row>
    <row r="1033" spans="2:9">
      <c r="B1033" t="s">
        <v>694</v>
      </c>
      <c r="C1033" t="s">
        <v>829</v>
      </c>
      <c r="D1033" t="s">
        <v>827</v>
      </c>
      <c r="E1033" t="s">
        <v>830</v>
      </c>
      <c r="G1033" s="26">
        <v>57.58129</v>
      </c>
      <c r="H1033" s="26">
        <v>57.58129</v>
      </c>
      <c r="I1033" s="27">
        <v>0</v>
      </c>
    </row>
    <row r="1034" spans="2:9">
      <c r="B1034" t="s">
        <v>484</v>
      </c>
      <c r="C1034" t="s">
        <v>833</v>
      </c>
      <c r="D1034" t="s">
        <v>827</v>
      </c>
      <c r="E1034" t="s">
        <v>830</v>
      </c>
      <c r="G1034" s="26">
        <v>0.3888</v>
      </c>
      <c r="H1034" s="26">
        <v>0.3888</v>
      </c>
      <c r="I1034" s="27">
        <v>0</v>
      </c>
    </row>
    <row r="1035" spans="2:9">
      <c r="B1035" t="s">
        <v>379</v>
      </c>
      <c r="C1035" t="s">
        <v>826</v>
      </c>
      <c r="D1035" t="s">
        <v>827</v>
      </c>
      <c r="E1035" t="s">
        <v>830</v>
      </c>
      <c r="G1035" s="26">
        <v>24.190792</v>
      </c>
      <c r="H1035" s="26">
        <v>24.190792</v>
      </c>
      <c r="I1035" s="27">
        <v>0</v>
      </c>
    </row>
    <row r="1036" spans="2:9">
      <c r="B1036" t="s">
        <v>61</v>
      </c>
      <c r="C1036" t="s">
        <v>833</v>
      </c>
      <c r="D1036" t="s">
        <v>827</v>
      </c>
      <c r="E1036" t="s">
        <v>830</v>
      </c>
      <c r="G1036" s="26">
        <v>0.1944</v>
      </c>
      <c r="H1036" s="26">
        <v>0.1944</v>
      </c>
      <c r="I1036" s="27">
        <v>0</v>
      </c>
    </row>
    <row r="1037" spans="2:9">
      <c r="B1037" t="s">
        <v>245</v>
      </c>
      <c r="C1037" t="s">
        <v>829</v>
      </c>
      <c r="D1037" t="s">
        <v>827</v>
      </c>
      <c r="E1037" t="s">
        <v>830</v>
      </c>
      <c r="G1037" s="26">
        <v>4.84282</v>
      </c>
      <c r="H1037" s="26">
        <v>4.84282</v>
      </c>
      <c r="I1037" s="27">
        <v>0</v>
      </c>
    </row>
    <row r="1038" spans="2:9">
      <c r="B1038" t="s">
        <v>759</v>
      </c>
      <c r="C1038" t="s">
        <v>833</v>
      </c>
      <c r="D1038" t="s">
        <v>827</v>
      </c>
      <c r="E1038" t="s">
        <v>830</v>
      </c>
      <c r="G1038" s="26">
        <v>0.091575</v>
      </c>
      <c r="H1038" s="26">
        <v>0.091575</v>
      </c>
      <c r="I1038" s="27">
        <v>0</v>
      </c>
    </row>
    <row r="1039" spans="2:9">
      <c r="B1039" t="s">
        <v>735</v>
      </c>
      <c r="C1039" t="s">
        <v>826</v>
      </c>
      <c r="D1039" t="s">
        <v>827</v>
      </c>
      <c r="E1039" t="s">
        <v>830</v>
      </c>
      <c r="G1039" s="26">
        <v>1.169792</v>
      </c>
      <c r="H1039" s="26">
        <v>1.169792</v>
      </c>
      <c r="I1039" s="27">
        <v>0</v>
      </c>
    </row>
    <row r="1040" spans="2:9">
      <c r="B1040" t="s">
        <v>179</v>
      </c>
      <c r="C1040" t="s">
        <v>833</v>
      </c>
      <c r="D1040" t="s">
        <v>827</v>
      </c>
      <c r="E1040" t="s">
        <v>830</v>
      </c>
      <c r="G1040" s="26">
        <v>32.510463</v>
      </c>
      <c r="H1040" s="26">
        <v>32.510463</v>
      </c>
      <c r="I1040" s="27">
        <v>0</v>
      </c>
    </row>
    <row r="1041" spans="2:9">
      <c r="B1041" t="s">
        <v>741</v>
      </c>
      <c r="C1041" t="s">
        <v>834</v>
      </c>
      <c r="D1041" t="s">
        <v>827</v>
      </c>
      <c r="E1041" t="s">
        <v>830</v>
      </c>
      <c r="G1041" s="26">
        <v>0.054967</v>
      </c>
      <c r="H1041" s="26">
        <v>0.054967</v>
      </c>
      <c r="I1041" s="27">
        <v>0</v>
      </c>
    </row>
    <row r="1042" spans="2:9">
      <c r="B1042" t="s">
        <v>168</v>
      </c>
      <c r="C1042" t="s">
        <v>832</v>
      </c>
      <c r="D1042" t="s">
        <v>827</v>
      </c>
      <c r="E1042" t="s">
        <v>828</v>
      </c>
      <c r="F1042" t="s">
        <v>169</v>
      </c>
      <c r="G1042" s="26">
        <v>0.130696</v>
      </c>
      <c r="H1042" s="26">
        <v>0.130696</v>
      </c>
      <c r="I1042" s="27">
        <v>0</v>
      </c>
    </row>
    <row r="1043" spans="2:9">
      <c r="B1043" t="s">
        <v>485</v>
      </c>
      <c r="C1043" t="s">
        <v>834</v>
      </c>
      <c r="D1043" t="s">
        <v>827</v>
      </c>
      <c r="E1043" t="s">
        <v>830</v>
      </c>
      <c r="G1043" s="26">
        <v>3.58848</v>
      </c>
      <c r="H1043" s="26">
        <v>3.58848</v>
      </c>
      <c r="I1043" s="27">
        <v>0</v>
      </c>
    </row>
    <row r="1044" spans="2:9">
      <c r="B1044" t="s">
        <v>677</v>
      </c>
      <c r="C1044" t="s">
        <v>833</v>
      </c>
      <c r="D1044" t="s">
        <v>827</v>
      </c>
      <c r="E1044" t="s">
        <v>830</v>
      </c>
      <c r="G1044" s="26">
        <v>0.1944</v>
      </c>
      <c r="H1044" s="26">
        <v>0.1944</v>
      </c>
      <c r="I1044" s="27">
        <v>0</v>
      </c>
    </row>
    <row r="1045" spans="2:9">
      <c r="B1045" t="s">
        <v>15</v>
      </c>
      <c r="C1045" t="s">
        <v>834</v>
      </c>
      <c r="D1045" t="s">
        <v>827</v>
      </c>
      <c r="E1045" t="s">
        <v>830</v>
      </c>
      <c r="G1045" s="26">
        <v>10.02888</v>
      </c>
      <c r="H1045" s="26">
        <v>10.02888</v>
      </c>
      <c r="I1045" s="27">
        <v>0</v>
      </c>
    </row>
    <row r="1046" spans="2:9">
      <c r="B1046" t="s">
        <v>287</v>
      </c>
      <c r="C1046" t="s">
        <v>829</v>
      </c>
      <c r="D1046" t="s">
        <v>827</v>
      </c>
      <c r="E1046" t="s">
        <v>830</v>
      </c>
      <c r="G1046" s="26">
        <v>1.955802</v>
      </c>
      <c r="H1046" s="26">
        <v>1.955802</v>
      </c>
      <c r="I1046" s="27">
        <v>0</v>
      </c>
    </row>
    <row r="1047" spans="2:9">
      <c r="B1047" t="s">
        <v>120</v>
      </c>
      <c r="C1047" t="s">
        <v>834</v>
      </c>
      <c r="D1047" t="s">
        <v>827</v>
      </c>
      <c r="E1047" t="s">
        <v>830</v>
      </c>
      <c r="G1047" s="26">
        <v>3.58848</v>
      </c>
      <c r="H1047" s="26">
        <v>3.58848</v>
      </c>
      <c r="I1047" s="27">
        <v>0</v>
      </c>
    </row>
    <row r="1048" spans="2:9">
      <c r="B1048" t="s">
        <v>243</v>
      </c>
      <c r="C1048" t="s">
        <v>829</v>
      </c>
      <c r="D1048" t="s">
        <v>827</v>
      </c>
      <c r="E1048" t="s">
        <v>830</v>
      </c>
      <c r="G1048" s="26">
        <v>6.588059</v>
      </c>
      <c r="H1048" s="26">
        <v>6.588059</v>
      </c>
      <c r="I1048" s="27">
        <v>0</v>
      </c>
    </row>
    <row r="1049" spans="2:9">
      <c r="B1049" t="s">
        <v>355</v>
      </c>
      <c r="C1049" t="s">
        <v>834</v>
      </c>
      <c r="D1049" t="s">
        <v>827</v>
      </c>
      <c r="E1049" t="s">
        <v>830</v>
      </c>
      <c r="G1049" s="26">
        <v>1.89576</v>
      </c>
      <c r="H1049" s="26">
        <v>1.89576</v>
      </c>
      <c r="I1049" s="27">
        <v>0</v>
      </c>
    </row>
    <row r="1050" spans="2:9">
      <c r="B1050" t="s">
        <v>259</v>
      </c>
      <c r="C1050" t="s">
        <v>829</v>
      </c>
      <c r="D1050" t="s">
        <v>827</v>
      </c>
      <c r="E1050" t="s">
        <v>830</v>
      </c>
      <c r="G1050" s="26">
        <v>0.030756</v>
      </c>
      <c r="H1050" s="26">
        <v>0.030756</v>
      </c>
      <c r="I1050" s="27">
        <v>0</v>
      </c>
    </row>
    <row r="1051" spans="2:9">
      <c r="B1051" t="s">
        <v>181</v>
      </c>
      <c r="C1051" t="s">
        <v>834</v>
      </c>
      <c r="D1051" t="s">
        <v>827</v>
      </c>
      <c r="E1051" t="s">
        <v>830</v>
      </c>
      <c r="G1051" s="26">
        <v>3.82392</v>
      </c>
      <c r="H1051" s="26">
        <v>3.82392</v>
      </c>
      <c r="I1051" s="27">
        <v>0</v>
      </c>
    </row>
    <row r="1052" spans="2:9">
      <c r="B1052" t="s">
        <v>452</v>
      </c>
      <c r="C1052" t="s">
        <v>826</v>
      </c>
      <c r="D1052" t="s">
        <v>827</v>
      </c>
      <c r="E1052" t="s">
        <v>830</v>
      </c>
      <c r="G1052" s="26">
        <v>1.126788</v>
      </c>
      <c r="H1052" s="26">
        <v>1.126788</v>
      </c>
      <c r="I1052" s="27">
        <v>0</v>
      </c>
    </row>
    <row r="1053" spans="2:9">
      <c r="B1053" t="s">
        <v>226</v>
      </c>
      <c r="C1053" t="s">
        <v>834</v>
      </c>
      <c r="D1053" t="s">
        <v>827</v>
      </c>
      <c r="E1053" t="s">
        <v>830</v>
      </c>
      <c r="G1053" s="26">
        <v>2.57257</v>
      </c>
      <c r="H1053" s="26">
        <v>2.57257</v>
      </c>
      <c r="I1053" s="27">
        <v>0</v>
      </c>
    </row>
    <row r="1054" spans="2:9">
      <c r="B1054" t="s">
        <v>249</v>
      </c>
      <c r="C1054" t="s">
        <v>829</v>
      </c>
      <c r="D1054" t="s">
        <v>827</v>
      </c>
      <c r="E1054" t="s">
        <v>830</v>
      </c>
      <c r="G1054" s="26">
        <v>0.74605</v>
      </c>
      <c r="H1054" s="26">
        <v>0.74605</v>
      </c>
      <c r="I1054" s="27">
        <v>0</v>
      </c>
    </row>
    <row r="1055" spans="2:9">
      <c r="B1055" t="s">
        <v>67</v>
      </c>
      <c r="C1055" t="s">
        <v>834</v>
      </c>
      <c r="D1055" t="s">
        <v>827</v>
      </c>
      <c r="E1055" t="s">
        <v>828</v>
      </c>
      <c r="F1055" t="s">
        <v>68</v>
      </c>
      <c r="G1055" s="26">
        <v>3.86712</v>
      </c>
      <c r="H1055" s="26">
        <v>3.86712</v>
      </c>
      <c r="I1055" s="27">
        <v>0</v>
      </c>
    </row>
    <row r="1056" spans="2:9">
      <c r="B1056" t="s">
        <v>209</v>
      </c>
      <c r="C1056" t="s">
        <v>826</v>
      </c>
      <c r="D1056" t="s">
        <v>827</v>
      </c>
      <c r="E1056" t="s">
        <v>830</v>
      </c>
      <c r="G1056" s="26">
        <v>11.139264</v>
      </c>
      <c r="H1056" s="26">
        <v>11.139264</v>
      </c>
      <c r="I1056" s="27">
        <v>0</v>
      </c>
    </row>
    <row r="1057" spans="2:9">
      <c r="B1057" t="s">
        <v>782</v>
      </c>
      <c r="C1057" t="s">
        <v>834</v>
      </c>
      <c r="D1057" t="s">
        <v>827</v>
      </c>
      <c r="E1057" t="s">
        <v>830</v>
      </c>
      <c r="G1057" s="26">
        <v>1.03608</v>
      </c>
      <c r="H1057" s="26">
        <v>1.03608</v>
      </c>
      <c r="I1057" s="27">
        <v>0</v>
      </c>
    </row>
    <row r="1058" spans="2:9">
      <c r="B1058" t="s">
        <v>253</v>
      </c>
      <c r="C1058" t="s">
        <v>834</v>
      </c>
      <c r="D1058" t="s">
        <v>827</v>
      </c>
      <c r="E1058" t="s">
        <v>830</v>
      </c>
      <c r="G1058" s="26">
        <v>5.317153</v>
      </c>
      <c r="H1058" s="26">
        <v>5.317153</v>
      </c>
      <c r="I1058" s="27">
        <v>0</v>
      </c>
    </row>
    <row r="1059" spans="2:9">
      <c r="B1059" t="s">
        <v>450</v>
      </c>
      <c r="C1059" t="s">
        <v>826</v>
      </c>
      <c r="D1059" t="s">
        <v>827</v>
      </c>
      <c r="E1059" t="s">
        <v>830</v>
      </c>
      <c r="G1059" s="26">
        <v>53.819554</v>
      </c>
      <c r="H1059" s="26">
        <v>53.819554</v>
      </c>
      <c r="I1059" s="27">
        <v>0</v>
      </c>
    </row>
    <row r="1060" spans="2:9">
      <c r="B1060" t="s">
        <v>375</v>
      </c>
      <c r="C1060" t="s">
        <v>834</v>
      </c>
      <c r="D1060" t="s">
        <v>827</v>
      </c>
      <c r="E1060" t="s">
        <v>830</v>
      </c>
      <c r="G1060" s="26">
        <v>2.583048</v>
      </c>
      <c r="H1060" s="26">
        <v>2.583048</v>
      </c>
      <c r="I1060" s="27">
        <v>0</v>
      </c>
    </row>
    <row r="1061" spans="2:9">
      <c r="B1061" t="s">
        <v>45</v>
      </c>
      <c r="C1061" t="s">
        <v>833</v>
      </c>
      <c r="D1061" t="s">
        <v>827</v>
      </c>
      <c r="E1061" t="s">
        <v>828</v>
      </c>
      <c r="F1061" t="s">
        <v>46</v>
      </c>
      <c r="G1061" s="26">
        <v>0.1944</v>
      </c>
      <c r="H1061" s="26">
        <v>0.1944</v>
      </c>
      <c r="I1061" s="27">
        <v>0</v>
      </c>
    </row>
    <row r="1062" spans="2:9">
      <c r="B1062" t="s">
        <v>523</v>
      </c>
      <c r="C1062" t="s">
        <v>834</v>
      </c>
      <c r="D1062" t="s">
        <v>827</v>
      </c>
      <c r="E1062" t="s">
        <v>830</v>
      </c>
      <c r="G1062" s="26">
        <v>63.91152</v>
      </c>
      <c r="H1062" s="26">
        <v>63.91152</v>
      </c>
      <c r="I1062" s="27">
        <v>0</v>
      </c>
    </row>
    <row r="1063" spans="2:9">
      <c r="B1063" t="s">
        <v>37</v>
      </c>
      <c r="C1063" t="s">
        <v>834</v>
      </c>
      <c r="D1063" t="s">
        <v>827</v>
      </c>
      <c r="E1063" t="s">
        <v>830</v>
      </c>
      <c r="G1063" s="26">
        <v>4.075072</v>
      </c>
      <c r="H1063" s="26">
        <v>4.075072</v>
      </c>
      <c r="I1063" s="27">
        <v>0</v>
      </c>
    </row>
    <row r="1064" spans="2:9">
      <c r="B1064" t="s">
        <v>414</v>
      </c>
      <c r="C1064" t="s">
        <v>834</v>
      </c>
      <c r="D1064" t="s">
        <v>827</v>
      </c>
      <c r="E1064" t="s">
        <v>830</v>
      </c>
      <c r="G1064" s="26">
        <v>1.09452</v>
      </c>
      <c r="H1064" s="26">
        <v>1.09452</v>
      </c>
      <c r="I1064" s="27">
        <v>0</v>
      </c>
    </row>
    <row r="1065" spans="2:9">
      <c r="B1065" t="s">
        <v>737</v>
      </c>
      <c r="C1065" t="s">
        <v>833</v>
      </c>
      <c r="D1065" t="s">
        <v>827</v>
      </c>
      <c r="E1065" t="s">
        <v>830</v>
      </c>
      <c r="G1065" s="26">
        <v>0.171585</v>
      </c>
      <c r="H1065" s="26">
        <v>0.171585</v>
      </c>
      <c r="I1065" s="27">
        <v>0</v>
      </c>
    </row>
    <row r="1066" spans="2:9">
      <c r="B1066" t="s">
        <v>403</v>
      </c>
      <c r="C1066" t="s">
        <v>834</v>
      </c>
      <c r="D1066" t="s">
        <v>827</v>
      </c>
      <c r="E1066" t="s">
        <v>828</v>
      </c>
      <c r="F1066" t="s">
        <v>404</v>
      </c>
      <c r="G1066" s="26">
        <v>0.370099</v>
      </c>
      <c r="H1066" s="26">
        <v>0.370099</v>
      </c>
      <c r="I1066" s="27">
        <v>0</v>
      </c>
    </row>
    <row r="1067" spans="2:9">
      <c r="B1067" t="s">
        <v>727</v>
      </c>
      <c r="C1067" t="s">
        <v>826</v>
      </c>
      <c r="D1067" t="s">
        <v>827</v>
      </c>
      <c r="E1067" t="s">
        <v>830</v>
      </c>
      <c r="G1067" s="26">
        <v>95.022774</v>
      </c>
      <c r="H1067" s="26">
        <v>95.022774</v>
      </c>
      <c r="I1067" s="27">
        <v>0</v>
      </c>
    </row>
    <row r="1068" spans="2:9">
      <c r="B1068" t="s">
        <v>650</v>
      </c>
      <c r="C1068" t="s">
        <v>834</v>
      </c>
      <c r="D1068" t="s">
        <v>827</v>
      </c>
      <c r="E1068" t="s">
        <v>830</v>
      </c>
      <c r="G1068" s="26">
        <v>0.174352</v>
      </c>
      <c r="H1068" s="26">
        <v>0.174352</v>
      </c>
      <c r="I1068" s="27">
        <v>0</v>
      </c>
    </row>
    <row r="1069" spans="2:9">
      <c r="B1069" t="s">
        <v>486</v>
      </c>
      <c r="C1069" t="s">
        <v>829</v>
      </c>
      <c r="D1069" t="s">
        <v>827</v>
      </c>
      <c r="E1069" t="s">
        <v>830</v>
      </c>
      <c r="G1069" s="26">
        <v>0.146434</v>
      </c>
      <c r="H1069" s="26">
        <v>0.146434</v>
      </c>
      <c r="I1069" s="27">
        <v>0</v>
      </c>
    </row>
    <row r="1070" spans="2:9">
      <c r="B1070" t="s">
        <v>292</v>
      </c>
      <c r="C1070" t="s">
        <v>834</v>
      </c>
      <c r="D1070" t="s">
        <v>827</v>
      </c>
      <c r="E1070" t="s">
        <v>830</v>
      </c>
      <c r="G1070" s="26">
        <v>2.571744</v>
      </c>
      <c r="H1070" s="26">
        <v>2.571744</v>
      </c>
      <c r="I1070" s="27">
        <v>0</v>
      </c>
    </row>
    <row r="1071" spans="2:9">
      <c r="B1071" t="s">
        <v>488</v>
      </c>
      <c r="C1071" t="s">
        <v>832</v>
      </c>
      <c r="D1071" t="s">
        <v>827</v>
      </c>
      <c r="E1071" t="s">
        <v>830</v>
      </c>
      <c r="G1071" s="26">
        <v>6.559042</v>
      </c>
      <c r="H1071" s="26">
        <v>6.559042</v>
      </c>
      <c r="I1071" s="27">
        <v>0</v>
      </c>
    </row>
    <row r="1072" spans="2:9">
      <c r="B1072" t="s">
        <v>469</v>
      </c>
      <c r="C1072" t="s">
        <v>834</v>
      </c>
      <c r="D1072" t="s">
        <v>827</v>
      </c>
      <c r="E1072" t="s">
        <v>830</v>
      </c>
      <c r="G1072" s="26">
        <v>9.82008</v>
      </c>
      <c r="H1072" s="26">
        <v>9.82008</v>
      </c>
      <c r="I1072" s="27">
        <v>0</v>
      </c>
    </row>
    <row r="1073" spans="2:9">
      <c r="B1073" t="s">
        <v>706</v>
      </c>
      <c r="C1073" t="s">
        <v>832</v>
      </c>
      <c r="D1073" t="s">
        <v>827</v>
      </c>
      <c r="E1073" t="s">
        <v>830</v>
      </c>
      <c r="G1073" s="27">
        <v>0.001156</v>
      </c>
      <c r="H1073" s="27">
        <v>0.001156</v>
      </c>
      <c r="I1073" s="27">
        <v>0</v>
      </c>
    </row>
    <row r="1074" spans="2:9">
      <c r="B1074" t="s">
        <v>209</v>
      </c>
      <c r="C1074" t="s">
        <v>834</v>
      </c>
      <c r="D1074" t="s">
        <v>827</v>
      </c>
      <c r="E1074" t="s">
        <v>830</v>
      </c>
      <c r="G1074" s="26">
        <v>4.65967</v>
      </c>
      <c r="H1074" s="26">
        <v>4.65967</v>
      </c>
      <c r="I1074" s="27">
        <v>0</v>
      </c>
    </row>
    <row r="1075" spans="2:9">
      <c r="B1075" t="s">
        <v>179</v>
      </c>
      <c r="C1075" t="s">
        <v>834</v>
      </c>
      <c r="D1075" t="s">
        <v>827</v>
      </c>
      <c r="E1075" t="s">
        <v>830</v>
      </c>
      <c r="G1075" s="26">
        <v>3.444597</v>
      </c>
      <c r="H1075" s="26">
        <v>3.444597</v>
      </c>
      <c r="I1075" s="27">
        <v>0</v>
      </c>
    </row>
    <row r="1076" spans="2:9">
      <c r="B1076" t="s">
        <v>692</v>
      </c>
      <c r="C1076" t="s">
        <v>833</v>
      </c>
      <c r="D1076" t="s">
        <v>827</v>
      </c>
      <c r="E1076" t="s">
        <v>830</v>
      </c>
      <c r="G1076" s="26">
        <v>1.151214</v>
      </c>
      <c r="H1076" s="26">
        <v>1.151214</v>
      </c>
      <c r="I1076" s="27">
        <v>0</v>
      </c>
    </row>
    <row r="1077" spans="2:9">
      <c r="B1077" t="s">
        <v>792</v>
      </c>
      <c r="C1077" t="s">
        <v>834</v>
      </c>
      <c r="D1077" t="s">
        <v>827</v>
      </c>
      <c r="E1077" t="s">
        <v>830</v>
      </c>
      <c r="G1077" s="26">
        <v>4.57056</v>
      </c>
      <c r="H1077" s="26">
        <v>4.57056</v>
      </c>
      <c r="I1077" s="27">
        <v>0</v>
      </c>
    </row>
    <row r="1078" spans="2:9">
      <c r="B1078" t="s">
        <v>615</v>
      </c>
      <c r="C1078" t="s">
        <v>833</v>
      </c>
      <c r="D1078" t="s">
        <v>827</v>
      </c>
      <c r="E1078" t="s">
        <v>830</v>
      </c>
      <c r="G1078" s="26">
        <v>1.1664</v>
      </c>
      <c r="H1078" s="26">
        <v>1.1664</v>
      </c>
      <c r="I1078" s="27">
        <v>0</v>
      </c>
    </row>
    <row r="1079" spans="2:9">
      <c r="B1079" t="s">
        <v>299</v>
      </c>
      <c r="C1079" t="s">
        <v>833</v>
      </c>
      <c r="D1079" t="s">
        <v>827</v>
      </c>
      <c r="E1079" t="s">
        <v>830</v>
      </c>
      <c r="G1079" s="26">
        <v>0.20803</v>
      </c>
      <c r="H1079" s="26">
        <v>0.20803</v>
      </c>
      <c r="I1079" s="27">
        <v>0</v>
      </c>
    </row>
    <row r="1080" spans="2:9">
      <c r="B1080" t="s">
        <v>528</v>
      </c>
      <c r="C1080" t="s">
        <v>833</v>
      </c>
      <c r="D1080" t="s">
        <v>827</v>
      </c>
      <c r="E1080" t="s">
        <v>828</v>
      </c>
      <c r="F1080" t="s">
        <v>529</v>
      </c>
      <c r="G1080" s="26">
        <v>11.686791</v>
      </c>
      <c r="H1080" s="26">
        <v>11.686791</v>
      </c>
      <c r="I1080" s="27">
        <v>0</v>
      </c>
    </row>
    <row r="1081" spans="2:9">
      <c r="B1081" t="s">
        <v>632</v>
      </c>
      <c r="C1081" t="s">
        <v>833</v>
      </c>
      <c r="D1081" t="s">
        <v>827</v>
      </c>
      <c r="E1081" t="s">
        <v>830</v>
      </c>
      <c r="G1081" s="26">
        <v>0.1944</v>
      </c>
      <c r="H1081" s="26">
        <v>0.1944</v>
      </c>
      <c r="I1081" s="27">
        <v>0</v>
      </c>
    </row>
    <row r="1082" spans="2:9">
      <c r="B1082" t="s">
        <v>680</v>
      </c>
      <c r="C1082" t="s">
        <v>833</v>
      </c>
      <c r="D1082" t="s">
        <v>827</v>
      </c>
      <c r="E1082" t="s">
        <v>830</v>
      </c>
      <c r="G1082" s="26">
        <v>0.188055</v>
      </c>
      <c r="H1082" s="26">
        <v>0.188055</v>
      </c>
      <c r="I1082" s="27">
        <v>0</v>
      </c>
    </row>
    <row r="1083" spans="2:9">
      <c r="B1083" t="s">
        <v>255</v>
      </c>
      <c r="C1083" t="s">
        <v>834</v>
      </c>
      <c r="D1083" t="s">
        <v>827</v>
      </c>
      <c r="E1083" t="s">
        <v>830</v>
      </c>
      <c r="G1083" s="26">
        <v>3.156362</v>
      </c>
      <c r="H1083" s="26">
        <v>3.156362</v>
      </c>
      <c r="I1083" s="27">
        <v>0</v>
      </c>
    </row>
    <row r="1084" spans="2:9">
      <c r="B1084" t="s">
        <v>212</v>
      </c>
      <c r="C1084" t="s">
        <v>833</v>
      </c>
      <c r="D1084" t="s">
        <v>827</v>
      </c>
      <c r="E1084" t="s">
        <v>830</v>
      </c>
      <c r="G1084" s="26">
        <v>0.10584</v>
      </c>
      <c r="H1084" s="26">
        <v>0.10584</v>
      </c>
      <c r="I1084" s="27">
        <v>0</v>
      </c>
    </row>
    <row r="1085" spans="2:9">
      <c r="B1085" t="s">
        <v>209</v>
      </c>
      <c r="C1085" t="s">
        <v>833</v>
      </c>
      <c r="D1085" t="s">
        <v>827</v>
      </c>
      <c r="E1085" t="s">
        <v>830</v>
      </c>
      <c r="G1085" s="26">
        <v>0.33312</v>
      </c>
      <c r="H1085" s="26">
        <v>0.33312</v>
      </c>
      <c r="I1085" s="27">
        <v>0</v>
      </c>
    </row>
    <row r="1086" spans="2:9">
      <c r="B1086" t="s">
        <v>242</v>
      </c>
      <c r="C1086" t="s">
        <v>833</v>
      </c>
      <c r="D1086" t="s">
        <v>827</v>
      </c>
      <c r="E1086" t="s">
        <v>830</v>
      </c>
      <c r="G1086" s="26">
        <v>0.287334</v>
      </c>
      <c r="H1086" s="26">
        <v>0.287334</v>
      </c>
      <c r="I1086" s="27">
        <v>0</v>
      </c>
    </row>
    <row r="1087" spans="2:9">
      <c r="B1087" t="s">
        <v>628</v>
      </c>
      <c r="C1087" t="s">
        <v>834</v>
      </c>
      <c r="D1087" t="s">
        <v>827</v>
      </c>
      <c r="E1087" t="s">
        <v>830</v>
      </c>
      <c r="G1087" s="26">
        <v>0.011451</v>
      </c>
      <c r="H1087" s="26">
        <v>0.011451</v>
      </c>
      <c r="I1087" s="27">
        <v>0</v>
      </c>
    </row>
    <row r="1088" spans="2:9">
      <c r="B1088" t="s">
        <v>86</v>
      </c>
      <c r="C1088" t="s">
        <v>833</v>
      </c>
      <c r="D1088" t="s">
        <v>827</v>
      </c>
      <c r="E1088" t="s">
        <v>830</v>
      </c>
      <c r="G1088" s="26">
        <v>6.804</v>
      </c>
      <c r="H1088" s="26">
        <v>6.804</v>
      </c>
      <c r="I1088" s="27">
        <v>0</v>
      </c>
    </row>
    <row r="1089" spans="2:9">
      <c r="B1089" t="s">
        <v>79</v>
      </c>
      <c r="C1089" t="s">
        <v>833</v>
      </c>
      <c r="D1089" t="s">
        <v>827</v>
      </c>
      <c r="E1089" t="s">
        <v>830</v>
      </c>
      <c r="G1089" s="26">
        <v>0.1944</v>
      </c>
      <c r="H1089" s="26">
        <v>0.1944</v>
      </c>
      <c r="I1089" s="27">
        <v>0</v>
      </c>
    </row>
    <row r="1090" spans="2:9">
      <c r="B1090" t="s">
        <v>195</v>
      </c>
      <c r="C1090" t="s">
        <v>834</v>
      </c>
      <c r="D1090" t="s">
        <v>827</v>
      </c>
      <c r="E1090" t="s">
        <v>830</v>
      </c>
      <c r="G1090" s="26">
        <v>13.668425</v>
      </c>
      <c r="H1090" s="26">
        <v>13.668425</v>
      </c>
      <c r="I1090" s="27">
        <v>0</v>
      </c>
    </row>
    <row r="1091" spans="2:9">
      <c r="B1091" t="s">
        <v>510</v>
      </c>
      <c r="C1091" t="s">
        <v>833</v>
      </c>
      <c r="D1091" t="s">
        <v>827</v>
      </c>
      <c r="E1091" t="s">
        <v>828</v>
      </c>
      <c r="F1091" t="s">
        <v>511</v>
      </c>
      <c r="G1091" s="26">
        <v>2.5272</v>
      </c>
      <c r="H1091" s="26">
        <v>2.5272</v>
      </c>
      <c r="I1091" s="27">
        <v>0</v>
      </c>
    </row>
    <row r="1092" spans="2:9">
      <c r="B1092" t="s">
        <v>221</v>
      </c>
      <c r="C1092" t="s">
        <v>833</v>
      </c>
      <c r="D1092" t="s">
        <v>827</v>
      </c>
      <c r="E1092" t="s">
        <v>830</v>
      </c>
      <c r="G1092" s="26">
        <v>0.57978</v>
      </c>
      <c r="H1092" s="26">
        <v>0.57978</v>
      </c>
      <c r="I1092" s="27">
        <v>0</v>
      </c>
    </row>
    <row r="1093" spans="2:9">
      <c r="B1093" t="s">
        <v>201</v>
      </c>
      <c r="C1093" t="s">
        <v>834</v>
      </c>
      <c r="D1093" t="s">
        <v>827</v>
      </c>
      <c r="E1093" t="s">
        <v>830</v>
      </c>
      <c r="G1093" s="26">
        <v>0.30384</v>
      </c>
      <c r="H1093" s="26">
        <v>0.30384</v>
      </c>
      <c r="I1093" s="27">
        <v>0</v>
      </c>
    </row>
    <row r="1094" spans="2:9">
      <c r="B1094" t="s">
        <v>346</v>
      </c>
      <c r="C1094" t="s">
        <v>833</v>
      </c>
      <c r="D1094" t="s">
        <v>827</v>
      </c>
      <c r="E1094" t="s">
        <v>830</v>
      </c>
      <c r="G1094" s="26">
        <v>0.10935</v>
      </c>
      <c r="H1094" s="26">
        <v>0.10935</v>
      </c>
      <c r="I1094" s="27">
        <v>0</v>
      </c>
    </row>
    <row r="1095" spans="2:9">
      <c r="B1095" t="s">
        <v>446</v>
      </c>
      <c r="C1095" t="s">
        <v>829</v>
      </c>
      <c r="D1095" t="s">
        <v>827</v>
      </c>
      <c r="E1095" t="s">
        <v>830</v>
      </c>
      <c r="G1095" s="26">
        <v>1.433804</v>
      </c>
      <c r="H1095" s="26">
        <v>1.433804</v>
      </c>
      <c r="I1095" s="27">
        <v>0</v>
      </c>
    </row>
    <row r="1096" spans="2:9">
      <c r="B1096" t="s">
        <v>300</v>
      </c>
      <c r="C1096" t="s">
        <v>833</v>
      </c>
      <c r="D1096" t="s">
        <v>827</v>
      </c>
      <c r="E1096" t="s">
        <v>830</v>
      </c>
      <c r="G1096" s="26">
        <v>0.13761</v>
      </c>
      <c r="H1096" s="26">
        <v>0.13761</v>
      </c>
      <c r="I1096" s="27">
        <v>0</v>
      </c>
    </row>
    <row r="1097" spans="2:9">
      <c r="B1097" t="s">
        <v>93</v>
      </c>
      <c r="C1097" t="s">
        <v>834</v>
      </c>
      <c r="D1097" t="s">
        <v>827</v>
      </c>
      <c r="E1097" t="s">
        <v>830</v>
      </c>
      <c r="G1097" s="26">
        <v>3.58848</v>
      </c>
      <c r="H1097" s="26">
        <v>3.58848</v>
      </c>
      <c r="I1097" s="27">
        <v>0</v>
      </c>
    </row>
    <row r="1098" spans="2:9">
      <c r="B1098" t="s">
        <v>180</v>
      </c>
      <c r="C1098" t="s">
        <v>834</v>
      </c>
      <c r="D1098" t="s">
        <v>827</v>
      </c>
      <c r="E1098" t="s">
        <v>830</v>
      </c>
      <c r="G1098" s="26">
        <v>1.423551</v>
      </c>
      <c r="H1098" s="26">
        <v>1.423551</v>
      </c>
      <c r="I1098" s="27">
        <v>0</v>
      </c>
    </row>
    <row r="1099" spans="2:9">
      <c r="B1099" t="s">
        <v>288</v>
      </c>
      <c r="C1099" t="s">
        <v>834</v>
      </c>
      <c r="D1099" t="s">
        <v>827</v>
      </c>
      <c r="E1099" t="s">
        <v>830</v>
      </c>
      <c r="G1099" s="26">
        <v>6.780432</v>
      </c>
      <c r="H1099" s="26">
        <v>6.780432</v>
      </c>
      <c r="I1099" s="27">
        <v>0</v>
      </c>
    </row>
    <row r="1100" spans="2:9">
      <c r="B1100" t="s">
        <v>47</v>
      </c>
      <c r="C1100" t="s">
        <v>834</v>
      </c>
      <c r="D1100" t="s">
        <v>827</v>
      </c>
      <c r="E1100" t="s">
        <v>830</v>
      </c>
      <c r="G1100" s="26">
        <v>5.85</v>
      </c>
      <c r="H1100" s="26">
        <v>5.85</v>
      </c>
      <c r="I1100" s="27">
        <v>0</v>
      </c>
    </row>
    <row r="1101" spans="2:9">
      <c r="B1101" t="s">
        <v>47</v>
      </c>
      <c r="C1101" t="s">
        <v>833</v>
      </c>
      <c r="D1101" t="s">
        <v>827</v>
      </c>
      <c r="E1101" t="s">
        <v>830</v>
      </c>
      <c r="G1101" s="26">
        <v>2.5272</v>
      </c>
      <c r="H1101" s="26">
        <v>2.5272</v>
      </c>
      <c r="I1101" s="27">
        <v>0</v>
      </c>
    </row>
    <row r="1102" spans="2:9">
      <c r="B1102" t="s">
        <v>396</v>
      </c>
      <c r="C1102" t="s">
        <v>833</v>
      </c>
      <c r="D1102" t="s">
        <v>827</v>
      </c>
      <c r="E1102" t="s">
        <v>830</v>
      </c>
      <c r="G1102" s="26">
        <v>0.395556</v>
      </c>
      <c r="H1102" s="26">
        <v>0.395556</v>
      </c>
      <c r="I1102" s="27">
        <v>0</v>
      </c>
    </row>
    <row r="1103" spans="2:9">
      <c r="B1103" t="s">
        <v>503</v>
      </c>
      <c r="C1103" t="s">
        <v>829</v>
      </c>
      <c r="D1103" t="s">
        <v>827</v>
      </c>
      <c r="E1103" t="s">
        <v>830</v>
      </c>
      <c r="G1103" s="26">
        <v>192.457068</v>
      </c>
      <c r="H1103" s="26">
        <v>192.457068</v>
      </c>
      <c r="I1103" s="27">
        <v>0</v>
      </c>
    </row>
    <row r="1104" spans="2:9">
      <c r="B1104" t="s">
        <v>668</v>
      </c>
      <c r="C1104" t="s">
        <v>833</v>
      </c>
      <c r="D1104" t="s">
        <v>827</v>
      </c>
      <c r="E1104" t="s">
        <v>830</v>
      </c>
      <c r="G1104" s="26">
        <v>0.3888</v>
      </c>
      <c r="H1104" s="26">
        <v>0.3888</v>
      </c>
      <c r="I1104" s="27">
        <v>0</v>
      </c>
    </row>
    <row r="1105" spans="2:9">
      <c r="B1105" t="s">
        <v>109</v>
      </c>
      <c r="C1105" t="s">
        <v>826</v>
      </c>
      <c r="D1105" t="s">
        <v>827</v>
      </c>
      <c r="E1105" t="s">
        <v>830</v>
      </c>
      <c r="G1105" s="26">
        <v>1276.718481</v>
      </c>
      <c r="H1105" s="26">
        <v>1276.718481</v>
      </c>
      <c r="I1105" s="27">
        <v>0</v>
      </c>
    </row>
    <row r="1106" spans="2:9">
      <c r="B1106" t="s">
        <v>430</v>
      </c>
      <c r="C1106" t="s">
        <v>834</v>
      </c>
      <c r="D1106" t="s">
        <v>827</v>
      </c>
      <c r="E1106" t="s">
        <v>830</v>
      </c>
      <c r="G1106" s="26">
        <v>1.59448</v>
      </c>
      <c r="H1106" s="26">
        <v>1.59448</v>
      </c>
      <c r="I1106" s="27">
        <v>0</v>
      </c>
    </row>
    <row r="1107" spans="2:9">
      <c r="B1107" t="s">
        <v>390</v>
      </c>
      <c r="C1107" t="s">
        <v>829</v>
      </c>
      <c r="D1107" t="s">
        <v>827</v>
      </c>
      <c r="E1107" t="s">
        <v>830</v>
      </c>
      <c r="G1107" s="26">
        <v>5.78449</v>
      </c>
      <c r="H1107" s="26">
        <v>5.78449</v>
      </c>
      <c r="I1107" s="27">
        <v>0</v>
      </c>
    </row>
    <row r="1108" spans="2:9">
      <c r="B1108" t="s">
        <v>146</v>
      </c>
      <c r="C1108" t="s">
        <v>834</v>
      </c>
      <c r="D1108" t="s">
        <v>827</v>
      </c>
      <c r="E1108" t="s">
        <v>830</v>
      </c>
      <c r="G1108" s="26">
        <v>1.50264</v>
      </c>
      <c r="H1108" s="26">
        <v>1.50264</v>
      </c>
      <c r="I1108" s="27">
        <v>0</v>
      </c>
    </row>
    <row r="1109" spans="2:9">
      <c r="B1109" t="s">
        <v>526</v>
      </c>
      <c r="C1109" t="s">
        <v>834</v>
      </c>
      <c r="D1109" t="s">
        <v>827</v>
      </c>
      <c r="E1109" t="s">
        <v>830</v>
      </c>
      <c r="G1109" s="26">
        <v>3.22416</v>
      </c>
      <c r="H1109" s="26">
        <v>3.22416</v>
      </c>
      <c r="I1109" s="27">
        <v>0</v>
      </c>
    </row>
    <row r="1110" spans="2:9">
      <c r="B1110" t="s">
        <v>471</v>
      </c>
      <c r="C1110" t="s">
        <v>826</v>
      </c>
      <c r="D1110" t="s">
        <v>827</v>
      </c>
      <c r="E1110" t="s">
        <v>830</v>
      </c>
      <c r="G1110" s="26">
        <v>0.548482</v>
      </c>
      <c r="H1110" s="26">
        <v>0.548482</v>
      </c>
      <c r="I1110" s="27">
        <v>0</v>
      </c>
    </row>
    <row r="1111" spans="2:9">
      <c r="B1111" t="s">
        <v>321</v>
      </c>
      <c r="C1111" t="s">
        <v>829</v>
      </c>
      <c r="D1111" t="s">
        <v>827</v>
      </c>
      <c r="E1111" t="s">
        <v>830</v>
      </c>
      <c r="G1111" s="26">
        <v>4.020648</v>
      </c>
      <c r="H1111" s="26">
        <v>4.020648</v>
      </c>
      <c r="I1111" s="27">
        <v>0</v>
      </c>
    </row>
    <row r="1112" spans="2:9">
      <c r="B1112" t="s">
        <v>193</v>
      </c>
      <c r="C1112" t="s">
        <v>834</v>
      </c>
      <c r="D1112" t="s">
        <v>827</v>
      </c>
      <c r="E1112" t="s">
        <v>830</v>
      </c>
      <c r="G1112" s="26">
        <v>2.285805</v>
      </c>
      <c r="H1112" s="26">
        <v>2.285805</v>
      </c>
      <c r="I1112" s="27">
        <v>0</v>
      </c>
    </row>
    <row r="1113" spans="2:9">
      <c r="B1113" t="s">
        <v>783</v>
      </c>
      <c r="C1113" t="s">
        <v>834</v>
      </c>
      <c r="D1113" t="s">
        <v>827</v>
      </c>
      <c r="E1113" t="s">
        <v>830</v>
      </c>
      <c r="G1113" s="26">
        <v>1.37268</v>
      </c>
      <c r="H1113" s="26">
        <v>1.37268</v>
      </c>
      <c r="I1113" s="27">
        <v>0</v>
      </c>
    </row>
    <row r="1114" spans="2:9">
      <c r="B1114" t="s">
        <v>605</v>
      </c>
      <c r="C1114" t="s">
        <v>829</v>
      </c>
      <c r="D1114" t="s">
        <v>827</v>
      </c>
      <c r="E1114" t="s">
        <v>830</v>
      </c>
      <c r="G1114" s="26">
        <v>120.162794</v>
      </c>
      <c r="H1114" s="26">
        <v>120.162794</v>
      </c>
      <c r="I1114" s="27">
        <v>0</v>
      </c>
    </row>
    <row r="1115" spans="2:9">
      <c r="B1115" t="s">
        <v>26</v>
      </c>
      <c r="C1115" t="s">
        <v>834</v>
      </c>
      <c r="D1115" t="s">
        <v>827</v>
      </c>
      <c r="E1115" t="s">
        <v>830</v>
      </c>
      <c r="G1115" s="26">
        <v>2.0808</v>
      </c>
      <c r="H1115" s="26">
        <v>2.0808</v>
      </c>
      <c r="I1115" s="27">
        <v>0</v>
      </c>
    </row>
    <row r="1116" spans="2:9">
      <c r="B1116" t="s">
        <v>403</v>
      </c>
      <c r="C1116" t="s">
        <v>829</v>
      </c>
      <c r="D1116" t="s">
        <v>827</v>
      </c>
      <c r="E1116" t="s">
        <v>828</v>
      </c>
      <c r="F1116" t="s">
        <v>404</v>
      </c>
      <c r="G1116" s="26">
        <v>3.085852</v>
      </c>
      <c r="H1116" s="26">
        <v>3.085852</v>
      </c>
      <c r="I1116" s="27">
        <v>0</v>
      </c>
    </row>
    <row r="1117" spans="2:9">
      <c r="B1117" t="s">
        <v>379</v>
      </c>
      <c r="C1117" t="s">
        <v>829</v>
      </c>
      <c r="D1117" t="s">
        <v>827</v>
      </c>
      <c r="E1117" t="s">
        <v>830</v>
      </c>
      <c r="G1117" s="26">
        <v>50.094261</v>
      </c>
      <c r="H1117" s="26">
        <v>50.094261</v>
      </c>
      <c r="I1117" s="27">
        <v>0</v>
      </c>
    </row>
    <row r="1118" spans="2:9">
      <c r="B1118" t="s">
        <v>209</v>
      </c>
      <c r="C1118" t="s">
        <v>829</v>
      </c>
      <c r="D1118" t="s">
        <v>827</v>
      </c>
      <c r="E1118" t="s">
        <v>830</v>
      </c>
      <c r="G1118" s="26">
        <v>6.119978</v>
      </c>
      <c r="H1118" s="26">
        <v>6.119978</v>
      </c>
      <c r="I1118" s="27">
        <v>0</v>
      </c>
    </row>
    <row r="1119" spans="2:9">
      <c r="B1119" t="s">
        <v>622</v>
      </c>
      <c r="C1119" t="s">
        <v>834</v>
      </c>
      <c r="D1119" t="s">
        <v>827</v>
      </c>
      <c r="E1119" t="s">
        <v>828</v>
      </c>
      <c r="F1119" t="s">
        <v>623</v>
      </c>
      <c r="G1119" s="26">
        <v>2.55672</v>
      </c>
      <c r="H1119" s="26">
        <v>2.55672</v>
      </c>
      <c r="I1119" s="27">
        <v>0</v>
      </c>
    </row>
    <row r="1120" spans="2:9">
      <c r="B1120" t="s">
        <v>474</v>
      </c>
      <c r="C1120" t="s">
        <v>829</v>
      </c>
      <c r="D1120" t="s">
        <v>827</v>
      </c>
      <c r="E1120" t="s">
        <v>830</v>
      </c>
      <c r="G1120" s="26">
        <v>3.71169</v>
      </c>
      <c r="H1120" s="26">
        <v>3.71169</v>
      </c>
      <c r="I1120" s="27">
        <v>0</v>
      </c>
    </row>
    <row r="1121" spans="2:9">
      <c r="B1121" t="s">
        <v>632</v>
      </c>
      <c r="C1121" t="s">
        <v>834</v>
      </c>
      <c r="D1121" t="s">
        <v>827</v>
      </c>
      <c r="E1121" t="s">
        <v>830</v>
      </c>
      <c r="G1121" s="26">
        <v>4.44312</v>
      </c>
      <c r="H1121" s="26">
        <v>4.44312</v>
      </c>
      <c r="I1121" s="27">
        <v>0</v>
      </c>
    </row>
    <row r="1122" spans="2:9">
      <c r="B1122" t="s">
        <v>653</v>
      </c>
      <c r="C1122" t="s">
        <v>834</v>
      </c>
      <c r="D1122" t="s">
        <v>827</v>
      </c>
      <c r="E1122" t="s">
        <v>830</v>
      </c>
      <c r="G1122" s="26">
        <v>3.740565</v>
      </c>
      <c r="H1122" s="26">
        <v>3.740565</v>
      </c>
      <c r="I1122" s="27">
        <v>0</v>
      </c>
    </row>
    <row r="1123" spans="2:9">
      <c r="B1123" t="s">
        <v>340</v>
      </c>
      <c r="C1123" t="s">
        <v>834</v>
      </c>
      <c r="D1123" t="s">
        <v>827</v>
      </c>
      <c r="E1123" t="s">
        <v>830</v>
      </c>
      <c r="G1123" s="26">
        <v>1.978648</v>
      </c>
      <c r="H1123" s="26">
        <v>1.978648</v>
      </c>
      <c r="I1123" s="27">
        <v>0</v>
      </c>
    </row>
    <row r="1124" spans="2:9">
      <c r="B1124" t="s">
        <v>379</v>
      </c>
      <c r="C1124" t="s">
        <v>834</v>
      </c>
      <c r="D1124" t="s">
        <v>827</v>
      </c>
      <c r="E1124" t="s">
        <v>830</v>
      </c>
      <c r="G1124" s="26">
        <v>10.642645</v>
      </c>
      <c r="H1124" s="26">
        <v>10.642645</v>
      </c>
      <c r="I1124" s="27">
        <v>0</v>
      </c>
    </row>
    <row r="1125" spans="2:9">
      <c r="B1125" t="s">
        <v>436</v>
      </c>
      <c r="C1125" t="s">
        <v>834</v>
      </c>
      <c r="D1125" t="s">
        <v>827</v>
      </c>
      <c r="E1125" t="s">
        <v>830</v>
      </c>
      <c r="G1125" s="26">
        <v>5.358672</v>
      </c>
      <c r="H1125" s="26">
        <v>5.358672</v>
      </c>
      <c r="I1125" s="27">
        <v>0</v>
      </c>
    </row>
    <row r="1126" spans="2:9">
      <c r="B1126" t="s">
        <v>229</v>
      </c>
      <c r="C1126" t="s">
        <v>834</v>
      </c>
      <c r="D1126" t="s">
        <v>827</v>
      </c>
      <c r="E1126" t="s">
        <v>830</v>
      </c>
      <c r="G1126" s="26">
        <v>3.468094</v>
      </c>
      <c r="H1126" s="26">
        <v>3.468094</v>
      </c>
      <c r="I1126" s="27">
        <v>0</v>
      </c>
    </row>
    <row r="1127" spans="2:9">
      <c r="B1127" t="s">
        <v>170</v>
      </c>
      <c r="C1127" t="s">
        <v>834</v>
      </c>
      <c r="D1127" t="s">
        <v>827</v>
      </c>
      <c r="E1127" t="s">
        <v>828</v>
      </c>
      <c r="F1127" t="s">
        <v>171</v>
      </c>
      <c r="G1127" s="26">
        <v>6.492542</v>
      </c>
      <c r="H1127" s="26">
        <v>6.492542</v>
      </c>
      <c r="I1127" s="27">
        <v>0</v>
      </c>
    </row>
    <row r="1128" spans="2:9">
      <c r="B1128" t="s">
        <v>683</v>
      </c>
      <c r="C1128" t="s">
        <v>834</v>
      </c>
      <c r="D1128" t="s">
        <v>827</v>
      </c>
      <c r="E1128" t="s">
        <v>830</v>
      </c>
      <c r="G1128" s="26">
        <v>3.59424</v>
      </c>
      <c r="H1128" s="26">
        <v>3.59424</v>
      </c>
      <c r="I1128" s="27">
        <v>0</v>
      </c>
    </row>
    <row r="1129" spans="2:9">
      <c r="B1129" t="s">
        <v>455</v>
      </c>
      <c r="C1129" t="s">
        <v>829</v>
      </c>
      <c r="D1129" t="s">
        <v>827</v>
      </c>
      <c r="E1129" t="s">
        <v>830</v>
      </c>
      <c r="G1129" s="26">
        <v>8.225832</v>
      </c>
      <c r="H1129" s="26">
        <v>8.225832</v>
      </c>
      <c r="I1129" s="27">
        <v>0</v>
      </c>
    </row>
    <row r="1130" spans="2:9">
      <c r="B1130" t="s">
        <v>284</v>
      </c>
      <c r="C1130" t="s">
        <v>834</v>
      </c>
      <c r="D1130" t="s">
        <v>827</v>
      </c>
      <c r="E1130" t="s">
        <v>830</v>
      </c>
      <c r="G1130" s="26">
        <v>2.56659</v>
      </c>
      <c r="H1130" s="26">
        <v>2.56659</v>
      </c>
      <c r="I1130" s="27">
        <v>0</v>
      </c>
    </row>
    <row r="1131" spans="2:9">
      <c r="B1131" t="s">
        <v>791</v>
      </c>
      <c r="C1131" t="s">
        <v>832</v>
      </c>
      <c r="D1131" t="s">
        <v>827</v>
      </c>
      <c r="E1131" t="s">
        <v>830</v>
      </c>
      <c r="G1131" s="26">
        <v>0.038318</v>
      </c>
      <c r="H1131" s="26">
        <v>0.038318</v>
      </c>
      <c r="I1131" s="27">
        <v>0</v>
      </c>
    </row>
    <row r="1132" spans="2:9">
      <c r="B1132" t="s">
        <v>351</v>
      </c>
      <c r="C1132" t="s">
        <v>834</v>
      </c>
      <c r="D1132" t="s">
        <v>827</v>
      </c>
      <c r="E1132" t="s">
        <v>830</v>
      </c>
      <c r="G1132" s="26">
        <v>4.061196</v>
      </c>
      <c r="H1132" s="26">
        <v>4.061196</v>
      </c>
      <c r="I1132" s="27">
        <v>0</v>
      </c>
    </row>
    <row r="1133" spans="2:9">
      <c r="B1133" t="s">
        <v>781</v>
      </c>
      <c r="C1133" t="s">
        <v>834</v>
      </c>
      <c r="D1133" t="s">
        <v>827</v>
      </c>
      <c r="E1133" t="s">
        <v>830</v>
      </c>
      <c r="G1133" s="26">
        <v>263.820834</v>
      </c>
      <c r="H1133" s="26">
        <v>263.820834</v>
      </c>
      <c r="I1133" s="27">
        <v>0</v>
      </c>
    </row>
    <row r="1134" spans="2:9">
      <c r="B1134" t="s">
        <v>424</v>
      </c>
      <c r="C1134" t="s">
        <v>834</v>
      </c>
      <c r="D1134" t="s">
        <v>827</v>
      </c>
      <c r="E1134" t="s">
        <v>830</v>
      </c>
      <c r="G1134" s="26">
        <v>1.2276</v>
      </c>
      <c r="H1134" s="26">
        <v>1.2276</v>
      </c>
      <c r="I1134" s="27">
        <v>0</v>
      </c>
    </row>
    <row r="1135" spans="2:9">
      <c r="B1135" t="s">
        <v>176</v>
      </c>
      <c r="C1135" t="s">
        <v>834</v>
      </c>
      <c r="D1135" t="s">
        <v>827</v>
      </c>
      <c r="E1135" t="s">
        <v>830</v>
      </c>
      <c r="G1135" s="26">
        <v>9.48456</v>
      </c>
      <c r="H1135" s="26">
        <v>9.48456</v>
      </c>
      <c r="I1135" s="27">
        <v>0</v>
      </c>
    </row>
    <row r="1136" spans="2:9">
      <c r="B1136" t="s">
        <v>469</v>
      </c>
      <c r="C1136" t="s">
        <v>829</v>
      </c>
      <c r="D1136" t="s">
        <v>827</v>
      </c>
      <c r="E1136" t="s">
        <v>830</v>
      </c>
      <c r="G1136" s="26">
        <v>2.941858</v>
      </c>
      <c r="H1136" s="26">
        <v>2.941858</v>
      </c>
      <c r="I1136" s="27">
        <v>0</v>
      </c>
    </row>
    <row r="1137" spans="2:9">
      <c r="B1137" t="s">
        <v>90</v>
      </c>
      <c r="C1137" t="s">
        <v>832</v>
      </c>
      <c r="D1137" t="s">
        <v>827</v>
      </c>
      <c r="E1137" t="s">
        <v>830</v>
      </c>
      <c r="G1137" s="26">
        <v>0.14688</v>
      </c>
      <c r="H1137" s="26">
        <v>0.14688</v>
      </c>
      <c r="I1137" s="27">
        <v>0</v>
      </c>
    </row>
    <row r="1138" spans="2:9">
      <c r="B1138" t="s">
        <v>128</v>
      </c>
      <c r="C1138" t="s">
        <v>833</v>
      </c>
      <c r="D1138" t="s">
        <v>827</v>
      </c>
      <c r="E1138" t="s">
        <v>830</v>
      </c>
      <c r="G1138" s="26">
        <v>0.1944</v>
      </c>
      <c r="H1138" s="26">
        <v>0.1944</v>
      </c>
      <c r="I1138" s="27">
        <v>0</v>
      </c>
    </row>
    <row r="1139" spans="2:9">
      <c r="B1139" t="s">
        <v>762</v>
      </c>
      <c r="C1139" t="s">
        <v>833</v>
      </c>
      <c r="D1139" t="s">
        <v>827</v>
      </c>
      <c r="E1139" t="s">
        <v>828</v>
      </c>
      <c r="F1139" t="s">
        <v>763</v>
      </c>
      <c r="G1139" s="26">
        <v>0.3888</v>
      </c>
      <c r="H1139" s="26">
        <v>0.3888</v>
      </c>
      <c r="I1139" s="27">
        <v>0</v>
      </c>
    </row>
    <row r="1140" spans="2:9">
      <c r="B1140" t="s">
        <v>276</v>
      </c>
      <c r="C1140" t="s">
        <v>833</v>
      </c>
      <c r="D1140" t="s">
        <v>827</v>
      </c>
      <c r="E1140" t="s">
        <v>830</v>
      </c>
      <c r="G1140" s="26">
        <v>0.157388</v>
      </c>
      <c r="H1140" s="26">
        <v>0.157388</v>
      </c>
      <c r="I1140" s="27">
        <v>0</v>
      </c>
    </row>
    <row r="1141" spans="2:9">
      <c r="B1141" t="s">
        <v>450</v>
      </c>
      <c r="C1141" t="s">
        <v>834</v>
      </c>
      <c r="D1141" t="s">
        <v>827</v>
      </c>
      <c r="E1141" t="s">
        <v>830</v>
      </c>
      <c r="G1141" s="26">
        <v>0.21927</v>
      </c>
      <c r="H1141" s="26">
        <v>0.21927</v>
      </c>
      <c r="I1141" s="27">
        <v>0</v>
      </c>
    </row>
    <row r="1142" spans="2:9">
      <c r="B1142" t="s">
        <v>170</v>
      </c>
      <c r="C1142" t="s">
        <v>833</v>
      </c>
      <c r="D1142" t="s">
        <v>827</v>
      </c>
      <c r="E1142" t="s">
        <v>828</v>
      </c>
      <c r="F1142" t="s">
        <v>171</v>
      </c>
      <c r="G1142" s="26">
        <v>7.942957</v>
      </c>
      <c r="H1142" s="26">
        <v>7.942957</v>
      </c>
      <c r="I1142" s="27">
        <v>0</v>
      </c>
    </row>
    <row r="1143" spans="2:9">
      <c r="B1143" t="s">
        <v>129</v>
      </c>
      <c r="C1143" t="s">
        <v>834</v>
      </c>
      <c r="D1143" t="s">
        <v>827</v>
      </c>
      <c r="E1143" t="s">
        <v>830</v>
      </c>
      <c r="G1143" s="26">
        <v>3.62736</v>
      </c>
      <c r="H1143" s="26">
        <v>3.62736</v>
      </c>
      <c r="I1143" s="27">
        <v>0</v>
      </c>
    </row>
    <row r="1144" spans="2:9">
      <c r="B1144" t="s">
        <v>151</v>
      </c>
      <c r="C1144" t="s">
        <v>833</v>
      </c>
      <c r="D1144" t="s">
        <v>827</v>
      </c>
      <c r="E1144" t="s">
        <v>830</v>
      </c>
      <c r="G1144" s="26">
        <v>3.06288</v>
      </c>
      <c r="H1144" s="26">
        <v>3.06288</v>
      </c>
      <c r="I1144" s="27">
        <v>0</v>
      </c>
    </row>
    <row r="1145" spans="2:9">
      <c r="B1145" t="s">
        <v>405</v>
      </c>
      <c r="C1145" t="s">
        <v>833</v>
      </c>
      <c r="D1145" t="s">
        <v>827</v>
      </c>
      <c r="E1145" t="s">
        <v>830</v>
      </c>
      <c r="G1145" s="26">
        <v>3.624946</v>
      </c>
      <c r="H1145" s="26">
        <v>3.624946</v>
      </c>
      <c r="I1145" s="27">
        <v>0</v>
      </c>
    </row>
    <row r="1146" spans="2:9">
      <c r="B1146" t="s">
        <v>284</v>
      </c>
      <c r="C1146" t="s">
        <v>833</v>
      </c>
      <c r="D1146" t="s">
        <v>827</v>
      </c>
      <c r="E1146" t="s">
        <v>830</v>
      </c>
      <c r="G1146" s="26">
        <v>9.542282</v>
      </c>
      <c r="H1146" s="26">
        <v>9.542282</v>
      </c>
      <c r="I1146" s="27">
        <v>0</v>
      </c>
    </row>
    <row r="1147" spans="2:9">
      <c r="B1147" t="s">
        <v>544</v>
      </c>
      <c r="C1147" t="s">
        <v>829</v>
      </c>
      <c r="D1147" t="s">
        <v>827</v>
      </c>
      <c r="E1147" t="s">
        <v>830</v>
      </c>
      <c r="G1147" s="26">
        <v>0.119296</v>
      </c>
      <c r="H1147" s="26">
        <v>0.119296</v>
      </c>
      <c r="I1147" s="27">
        <v>0</v>
      </c>
    </row>
    <row r="1148" spans="2:9">
      <c r="B1148" t="s">
        <v>196</v>
      </c>
      <c r="C1148" t="s">
        <v>833</v>
      </c>
      <c r="D1148" t="s">
        <v>827</v>
      </c>
      <c r="E1148" t="s">
        <v>830</v>
      </c>
      <c r="G1148" s="26">
        <v>0.1944</v>
      </c>
      <c r="H1148" s="26">
        <v>0.1944</v>
      </c>
      <c r="I1148" s="27">
        <v>0</v>
      </c>
    </row>
    <row r="1149" spans="2:9">
      <c r="B1149" t="s">
        <v>167</v>
      </c>
      <c r="C1149" t="s">
        <v>833</v>
      </c>
      <c r="D1149" t="s">
        <v>827</v>
      </c>
      <c r="E1149" t="s">
        <v>830</v>
      </c>
      <c r="G1149" s="26">
        <v>0.1944</v>
      </c>
      <c r="H1149" s="26">
        <v>0.1944</v>
      </c>
      <c r="I1149" s="27">
        <v>0</v>
      </c>
    </row>
    <row r="1150" spans="2:9">
      <c r="B1150" t="s">
        <v>88</v>
      </c>
      <c r="C1150" t="s">
        <v>833</v>
      </c>
      <c r="D1150" t="s">
        <v>827</v>
      </c>
      <c r="E1150" t="s">
        <v>830</v>
      </c>
      <c r="G1150" s="26">
        <v>0.1944</v>
      </c>
      <c r="H1150" s="26">
        <v>0.1944</v>
      </c>
      <c r="I1150" s="27">
        <v>0</v>
      </c>
    </row>
    <row r="1151" spans="2:9">
      <c r="B1151" t="s">
        <v>108</v>
      </c>
      <c r="C1151" t="s">
        <v>833</v>
      </c>
      <c r="D1151" t="s">
        <v>827</v>
      </c>
      <c r="E1151" t="s">
        <v>830</v>
      </c>
      <c r="G1151" s="26">
        <v>0.1944</v>
      </c>
      <c r="H1151" s="26">
        <v>0.1944</v>
      </c>
      <c r="I1151" s="27">
        <v>0</v>
      </c>
    </row>
    <row r="1152" spans="2:9">
      <c r="B1152" t="s">
        <v>13</v>
      </c>
      <c r="C1152" t="s">
        <v>832</v>
      </c>
      <c r="D1152" t="s">
        <v>827</v>
      </c>
      <c r="E1152" t="s">
        <v>828</v>
      </c>
      <c r="F1152" t="s">
        <v>14</v>
      </c>
      <c r="G1152" s="26">
        <v>0.14688</v>
      </c>
      <c r="H1152" s="26">
        <v>0.14688</v>
      </c>
      <c r="I1152" s="27">
        <v>0</v>
      </c>
    </row>
    <row r="1153" spans="2:9">
      <c r="B1153" t="s">
        <v>513</v>
      </c>
      <c r="C1153" t="s">
        <v>832</v>
      </c>
      <c r="D1153" t="s">
        <v>827</v>
      </c>
      <c r="E1153" t="s">
        <v>828</v>
      </c>
      <c r="F1153" t="s">
        <v>514</v>
      </c>
      <c r="G1153" s="26">
        <v>6.6096</v>
      </c>
      <c r="H1153" s="26">
        <v>6.6096</v>
      </c>
      <c r="I1153" s="27">
        <v>0</v>
      </c>
    </row>
    <row r="1154" spans="2:9">
      <c r="B1154" t="s">
        <v>239</v>
      </c>
      <c r="C1154" t="s">
        <v>833</v>
      </c>
      <c r="D1154" t="s">
        <v>827</v>
      </c>
      <c r="E1154" t="s">
        <v>830</v>
      </c>
      <c r="G1154" s="26">
        <v>1.517163</v>
      </c>
      <c r="H1154" s="26">
        <v>1.517163</v>
      </c>
      <c r="I1154" s="27">
        <v>0</v>
      </c>
    </row>
    <row r="1155" spans="2:9">
      <c r="B1155" t="s">
        <v>419</v>
      </c>
      <c r="C1155" t="s">
        <v>834</v>
      </c>
      <c r="D1155" t="s">
        <v>827</v>
      </c>
      <c r="E1155" t="s">
        <v>830</v>
      </c>
      <c r="G1155" s="26">
        <v>6.816304</v>
      </c>
      <c r="H1155" s="26">
        <v>6.816304</v>
      </c>
      <c r="I1155" s="27">
        <v>0</v>
      </c>
    </row>
    <row r="1156" spans="2:9">
      <c r="B1156" t="s">
        <v>361</v>
      </c>
      <c r="C1156" t="s">
        <v>833</v>
      </c>
      <c r="D1156" t="s">
        <v>827</v>
      </c>
      <c r="E1156" t="s">
        <v>830</v>
      </c>
      <c r="G1156" s="26">
        <v>0.510582</v>
      </c>
      <c r="H1156" s="26">
        <v>0.510582</v>
      </c>
      <c r="I1156" s="27">
        <v>0</v>
      </c>
    </row>
    <row r="1157" spans="2:9">
      <c r="B1157" t="s">
        <v>208</v>
      </c>
      <c r="C1157" t="s">
        <v>833</v>
      </c>
      <c r="D1157" t="s">
        <v>827</v>
      </c>
      <c r="E1157" t="s">
        <v>830</v>
      </c>
      <c r="G1157" s="26">
        <v>1.11888</v>
      </c>
      <c r="H1157" s="26">
        <v>1.11888</v>
      </c>
      <c r="I1157" s="27">
        <v>0</v>
      </c>
    </row>
    <row r="1158" spans="2:9">
      <c r="B1158" t="s">
        <v>654</v>
      </c>
      <c r="C1158" t="s">
        <v>833</v>
      </c>
      <c r="D1158" t="s">
        <v>827</v>
      </c>
      <c r="E1158" t="s">
        <v>830</v>
      </c>
      <c r="G1158" s="26">
        <v>1.8119</v>
      </c>
      <c r="H1158" s="26">
        <v>1.8119</v>
      </c>
      <c r="I1158" s="27">
        <v>0</v>
      </c>
    </row>
    <row r="1159" spans="2:9">
      <c r="B1159" t="s">
        <v>507</v>
      </c>
      <c r="C1159" t="s">
        <v>826</v>
      </c>
      <c r="D1159" t="s">
        <v>827</v>
      </c>
      <c r="E1159" t="s">
        <v>830</v>
      </c>
      <c r="G1159" s="26">
        <v>0.03495</v>
      </c>
      <c r="H1159" s="26">
        <v>0.03495</v>
      </c>
      <c r="I1159" s="27">
        <v>0</v>
      </c>
    </row>
    <row r="1160" spans="2:9">
      <c r="B1160" t="s">
        <v>295</v>
      </c>
      <c r="C1160" t="s">
        <v>833</v>
      </c>
      <c r="D1160" t="s">
        <v>827</v>
      </c>
      <c r="E1160" t="s">
        <v>830</v>
      </c>
      <c r="G1160" s="26">
        <v>0.286031</v>
      </c>
      <c r="H1160" s="26">
        <v>0.286031</v>
      </c>
      <c r="I1160" s="27">
        <v>0</v>
      </c>
    </row>
    <row r="1161" spans="2:9">
      <c r="B1161" t="s">
        <v>153</v>
      </c>
      <c r="C1161" t="s">
        <v>833</v>
      </c>
      <c r="D1161" t="s">
        <v>827</v>
      </c>
      <c r="E1161" t="s">
        <v>830</v>
      </c>
      <c r="G1161" s="26">
        <v>0.3888</v>
      </c>
      <c r="H1161" s="26">
        <v>0.3888</v>
      </c>
      <c r="I1161" s="27">
        <v>0</v>
      </c>
    </row>
    <row r="1162" spans="2:9">
      <c r="B1162" t="s">
        <v>174</v>
      </c>
      <c r="C1162" t="s">
        <v>834</v>
      </c>
      <c r="D1162" t="s">
        <v>827</v>
      </c>
      <c r="E1162" t="s">
        <v>830</v>
      </c>
      <c r="G1162" s="26">
        <v>2.617818</v>
      </c>
      <c r="H1162" s="26">
        <v>2.617818</v>
      </c>
      <c r="I1162" s="27">
        <v>0</v>
      </c>
    </row>
    <row r="1163" spans="2:9">
      <c r="B1163" t="s">
        <v>384</v>
      </c>
      <c r="C1163" t="s">
        <v>833</v>
      </c>
      <c r="D1163" t="s">
        <v>827</v>
      </c>
      <c r="E1163" t="s">
        <v>830</v>
      </c>
      <c r="G1163" s="27">
        <v>1.001004</v>
      </c>
      <c r="H1163" s="27">
        <v>1.001004</v>
      </c>
      <c r="I1163" s="27">
        <v>0</v>
      </c>
    </row>
    <row r="1164" spans="2:9">
      <c r="B1164" t="s">
        <v>137</v>
      </c>
      <c r="C1164" t="s">
        <v>834</v>
      </c>
      <c r="D1164" t="s">
        <v>827</v>
      </c>
      <c r="E1164" t="s">
        <v>830</v>
      </c>
      <c r="G1164" s="26">
        <v>5.341668</v>
      </c>
      <c r="H1164" s="26">
        <v>5.341668</v>
      </c>
      <c r="I1164" s="27">
        <v>0</v>
      </c>
    </row>
    <row r="1165" spans="2:9">
      <c r="B1165" t="s">
        <v>357</v>
      </c>
      <c r="C1165" t="s">
        <v>832</v>
      </c>
      <c r="D1165" t="s">
        <v>827</v>
      </c>
      <c r="E1165" t="s">
        <v>830</v>
      </c>
      <c r="G1165" s="26">
        <v>0.022372</v>
      </c>
      <c r="H1165" s="26">
        <v>0.022372</v>
      </c>
      <c r="I1165" s="27">
        <v>0</v>
      </c>
    </row>
    <row r="1166" spans="2:9">
      <c r="B1166" t="s">
        <v>612</v>
      </c>
      <c r="C1166" t="s">
        <v>834</v>
      </c>
      <c r="D1166" t="s">
        <v>827</v>
      </c>
      <c r="E1166" t="s">
        <v>830</v>
      </c>
      <c r="G1166" s="26">
        <v>2.280602</v>
      </c>
      <c r="H1166" s="26">
        <v>2.280602</v>
      </c>
      <c r="I1166" s="27">
        <v>0</v>
      </c>
    </row>
    <row r="1167" spans="2:9">
      <c r="B1167" t="s">
        <v>19</v>
      </c>
      <c r="C1167" t="s">
        <v>833</v>
      </c>
      <c r="D1167" t="s">
        <v>827</v>
      </c>
      <c r="E1167" t="s">
        <v>828</v>
      </c>
      <c r="F1167" t="s">
        <v>20</v>
      </c>
      <c r="G1167" s="26">
        <v>0.1944</v>
      </c>
      <c r="H1167" s="26">
        <v>0.1944</v>
      </c>
      <c r="I1167" s="27">
        <v>0</v>
      </c>
    </row>
    <row r="1168" spans="2:9">
      <c r="B1168" t="s">
        <v>291</v>
      </c>
      <c r="C1168" t="s">
        <v>834</v>
      </c>
      <c r="D1168" t="s">
        <v>827</v>
      </c>
      <c r="E1168" t="s">
        <v>830</v>
      </c>
      <c r="G1168" s="26">
        <v>5.425647</v>
      </c>
      <c r="H1168" s="26">
        <v>5.425647</v>
      </c>
      <c r="I1168" s="27">
        <v>0</v>
      </c>
    </row>
    <row r="1169" spans="2:9">
      <c r="B1169" t="s">
        <v>757</v>
      </c>
      <c r="C1169" t="s">
        <v>834</v>
      </c>
      <c r="D1169" t="s">
        <v>827</v>
      </c>
      <c r="E1169" t="s">
        <v>830</v>
      </c>
      <c r="G1169" s="26">
        <v>28.88712</v>
      </c>
      <c r="H1169" s="26">
        <v>28.88712</v>
      </c>
      <c r="I1169" s="27">
        <v>0</v>
      </c>
    </row>
    <row r="1170" spans="2:9">
      <c r="B1170" t="s">
        <v>172</v>
      </c>
      <c r="C1170" t="s">
        <v>832</v>
      </c>
      <c r="D1170" t="s">
        <v>827</v>
      </c>
      <c r="E1170" t="s">
        <v>828</v>
      </c>
      <c r="F1170" t="s">
        <v>173</v>
      </c>
      <c r="G1170" s="26">
        <v>14.827842</v>
      </c>
      <c r="H1170" s="26">
        <v>14.827842</v>
      </c>
      <c r="I1170" s="27">
        <v>0</v>
      </c>
    </row>
    <row r="1171" spans="2:9">
      <c r="B1171" t="s">
        <v>323</v>
      </c>
      <c r="C1171" t="s">
        <v>834</v>
      </c>
      <c r="D1171" t="s">
        <v>827</v>
      </c>
      <c r="E1171" t="s">
        <v>830</v>
      </c>
      <c r="G1171" s="26">
        <v>3.647994</v>
      </c>
      <c r="H1171" s="26">
        <v>3.647994</v>
      </c>
      <c r="I1171" s="27">
        <v>0</v>
      </c>
    </row>
    <row r="1172" spans="2:9">
      <c r="B1172" t="s">
        <v>685</v>
      </c>
      <c r="C1172" t="s">
        <v>826</v>
      </c>
      <c r="D1172" t="s">
        <v>827</v>
      </c>
      <c r="E1172" t="s">
        <v>830</v>
      </c>
      <c r="G1172" s="26">
        <v>1.39567</v>
      </c>
      <c r="H1172" s="26">
        <v>1.39567</v>
      </c>
      <c r="I1172" s="27">
        <v>0</v>
      </c>
    </row>
    <row r="1173" spans="2:9">
      <c r="B1173" t="s">
        <v>337</v>
      </c>
      <c r="C1173" t="s">
        <v>834</v>
      </c>
      <c r="D1173" t="s">
        <v>827</v>
      </c>
      <c r="E1173" t="s">
        <v>830</v>
      </c>
      <c r="G1173" s="26">
        <v>5.127996</v>
      </c>
      <c r="H1173" s="26">
        <v>5.127996</v>
      </c>
      <c r="I1173" s="27">
        <v>0</v>
      </c>
    </row>
    <row r="1174" spans="2:9">
      <c r="B1174" t="s">
        <v>442</v>
      </c>
      <c r="C1174" t="s">
        <v>833</v>
      </c>
      <c r="D1174" t="s">
        <v>827</v>
      </c>
      <c r="E1174" t="s">
        <v>830</v>
      </c>
      <c r="G1174" s="26">
        <v>0.021285</v>
      </c>
      <c r="H1174" s="26">
        <v>0.021285</v>
      </c>
      <c r="I1174" s="27">
        <v>0</v>
      </c>
    </row>
    <row r="1175" spans="2:9">
      <c r="B1175" t="s">
        <v>118</v>
      </c>
      <c r="C1175" t="s">
        <v>834</v>
      </c>
      <c r="D1175" t="s">
        <v>827</v>
      </c>
      <c r="E1175" t="s">
        <v>830</v>
      </c>
      <c r="G1175" s="26">
        <v>7.18776</v>
      </c>
      <c r="H1175" s="26">
        <v>7.18776</v>
      </c>
      <c r="I1175" s="27">
        <v>0</v>
      </c>
    </row>
    <row r="1176" spans="2:9">
      <c r="B1176" t="s">
        <v>782</v>
      </c>
      <c r="C1176" t="s">
        <v>833</v>
      </c>
      <c r="D1176" t="s">
        <v>827</v>
      </c>
      <c r="E1176" t="s">
        <v>830</v>
      </c>
      <c r="G1176" s="26">
        <v>0.3888</v>
      </c>
      <c r="H1176" s="26">
        <v>0.3888</v>
      </c>
      <c r="I1176" s="27">
        <v>0</v>
      </c>
    </row>
    <row r="1177" spans="2:9">
      <c r="B1177" t="s">
        <v>512</v>
      </c>
      <c r="C1177" t="s">
        <v>834</v>
      </c>
      <c r="D1177" t="s">
        <v>827</v>
      </c>
      <c r="E1177" t="s">
        <v>830</v>
      </c>
      <c r="G1177" s="26">
        <v>2.48472</v>
      </c>
      <c r="H1177" s="26">
        <v>2.48472</v>
      </c>
      <c r="I1177" s="27">
        <v>0</v>
      </c>
    </row>
    <row r="1178" spans="2:9">
      <c r="B1178" t="s">
        <v>260</v>
      </c>
      <c r="C1178" t="s">
        <v>832</v>
      </c>
      <c r="D1178" t="s">
        <v>827</v>
      </c>
      <c r="E1178" t="s">
        <v>830</v>
      </c>
      <c r="G1178" s="26">
        <v>0.19193</v>
      </c>
      <c r="H1178" s="26">
        <v>0.19193</v>
      </c>
      <c r="I1178" s="27">
        <v>0</v>
      </c>
    </row>
    <row r="1179" spans="2:9">
      <c r="B1179" t="s">
        <v>163</v>
      </c>
      <c r="C1179" t="s">
        <v>834</v>
      </c>
      <c r="D1179" t="s">
        <v>827</v>
      </c>
      <c r="E1179" t="s">
        <v>830</v>
      </c>
      <c r="G1179" s="26">
        <v>0.32328</v>
      </c>
      <c r="H1179" s="26">
        <v>0.32328</v>
      </c>
      <c r="I1179" s="27">
        <v>0</v>
      </c>
    </row>
    <row r="1180" spans="2:9">
      <c r="B1180" t="s">
        <v>224</v>
      </c>
      <c r="C1180" t="s">
        <v>833</v>
      </c>
      <c r="D1180" t="s">
        <v>827</v>
      </c>
      <c r="E1180" t="s">
        <v>830</v>
      </c>
      <c r="G1180" s="26">
        <v>0.155745</v>
      </c>
      <c r="H1180" s="26">
        <v>0.155745</v>
      </c>
      <c r="I1180" s="27">
        <v>0</v>
      </c>
    </row>
    <row r="1181" spans="2:9">
      <c r="B1181" t="s">
        <v>526</v>
      </c>
      <c r="C1181" t="s">
        <v>833</v>
      </c>
      <c r="D1181" t="s">
        <v>827</v>
      </c>
      <c r="E1181" t="s">
        <v>830</v>
      </c>
      <c r="G1181" s="26">
        <v>0.1944</v>
      </c>
      <c r="H1181" s="26">
        <v>0.1944</v>
      </c>
      <c r="I1181" s="27">
        <v>0</v>
      </c>
    </row>
    <row r="1182" spans="2:9">
      <c r="B1182" t="s">
        <v>388</v>
      </c>
      <c r="C1182" t="s">
        <v>831</v>
      </c>
      <c r="D1182" t="s">
        <v>827</v>
      </c>
      <c r="E1182" t="s">
        <v>828</v>
      </c>
      <c r="F1182" t="s">
        <v>389</v>
      </c>
      <c r="G1182" s="26">
        <v>10.369296</v>
      </c>
      <c r="H1182" s="26">
        <v>10.369296</v>
      </c>
      <c r="I1182" s="27">
        <v>0</v>
      </c>
    </row>
    <row r="1183" spans="2:9">
      <c r="B1183" t="s">
        <v>585</v>
      </c>
      <c r="C1183" t="s">
        <v>833</v>
      </c>
      <c r="D1183" t="s">
        <v>827</v>
      </c>
      <c r="E1183" t="s">
        <v>830</v>
      </c>
      <c r="G1183" s="26">
        <v>4.476829</v>
      </c>
      <c r="H1183" s="26">
        <v>4.476829</v>
      </c>
      <c r="I1183" s="27">
        <v>0</v>
      </c>
    </row>
    <row r="1184" spans="2:9">
      <c r="B1184" t="s">
        <v>294</v>
      </c>
      <c r="C1184" t="s">
        <v>834</v>
      </c>
      <c r="D1184" t="s">
        <v>827</v>
      </c>
      <c r="E1184" t="s">
        <v>830</v>
      </c>
      <c r="G1184" s="26">
        <v>5.705729</v>
      </c>
      <c r="H1184" s="26">
        <v>5.705729</v>
      </c>
      <c r="I1184" s="27">
        <v>0</v>
      </c>
    </row>
    <row r="1185" spans="2:9">
      <c r="B1185" t="s">
        <v>802</v>
      </c>
      <c r="C1185" t="s">
        <v>834</v>
      </c>
      <c r="D1185" t="s">
        <v>827</v>
      </c>
      <c r="E1185" t="s">
        <v>830</v>
      </c>
      <c r="G1185" s="26">
        <v>5.244532</v>
      </c>
      <c r="H1185" s="26">
        <v>5.244532</v>
      </c>
      <c r="I1185" s="27">
        <v>0</v>
      </c>
    </row>
    <row r="1186" spans="2:9">
      <c r="B1186" t="s">
        <v>278</v>
      </c>
      <c r="C1186" t="s">
        <v>834</v>
      </c>
      <c r="D1186" t="s">
        <v>827</v>
      </c>
      <c r="E1186" t="s">
        <v>830</v>
      </c>
      <c r="G1186" s="26">
        <v>2.154922</v>
      </c>
      <c r="H1186" s="26">
        <v>2.154922</v>
      </c>
      <c r="I1186" s="27">
        <v>0</v>
      </c>
    </row>
    <row r="1187" spans="2:9">
      <c r="B1187" t="s">
        <v>394</v>
      </c>
      <c r="C1187" t="s">
        <v>833</v>
      </c>
      <c r="D1187" t="s">
        <v>827</v>
      </c>
      <c r="E1187" t="s">
        <v>830</v>
      </c>
      <c r="G1187" s="26">
        <v>0.338912</v>
      </c>
      <c r="H1187" s="26">
        <v>0.338912</v>
      </c>
      <c r="I1187" s="27">
        <v>0</v>
      </c>
    </row>
    <row r="1188" spans="2:9">
      <c r="B1188" t="s">
        <v>513</v>
      </c>
      <c r="C1188" t="s">
        <v>829</v>
      </c>
      <c r="D1188" t="s">
        <v>827</v>
      </c>
      <c r="E1188" t="s">
        <v>828</v>
      </c>
      <c r="F1188" t="s">
        <v>514</v>
      </c>
      <c r="G1188" s="26">
        <v>1448.968934</v>
      </c>
      <c r="H1188" s="26">
        <v>1448.968934</v>
      </c>
      <c r="I1188" s="27">
        <v>0</v>
      </c>
    </row>
    <row r="1189" spans="2:9">
      <c r="B1189" t="s">
        <v>355</v>
      </c>
      <c r="C1189" t="s">
        <v>833</v>
      </c>
      <c r="D1189" t="s">
        <v>827</v>
      </c>
      <c r="E1189" t="s">
        <v>830</v>
      </c>
      <c r="G1189" s="26">
        <v>0.09954</v>
      </c>
      <c r="H1189" s="26">
        <v>0.09954</v>
      </c>
      <c r="I1189" s="27">
        <v>0</v>
      </c>
    </row>
    <row r="1190" spans="2:9">
      <c r="B1190" t="s">
        <v>105</v>
      </c>
      <c r="C1190" t="s">
        <v>834</v>
      </c>
      <c r="D1190" t="s">
        <v>827</v>
      </c>
      <c r="E1190" t="s">
        <v>830</v>
      </c>
      <c r="G1190" s="26">
        <v>10.951742</v>
      </c>
      <c r="H1190" s="26">
        <v>10.951742</v>
      </c>
      <c r="I1190" s="27">
        <v>0</v>
      </c>
    </row>
    <row r="1191" spans="2:9">
      <c r="B1191" t="s">
        <v>532</v>
      </c>
      <c r="C1191" t="s">
        <v>833</v>
      </c>
      <c r="D1191" t="s">
        <v>827</v>
      </c>
      <c r="E1191" t="s">
        <v>830</v>
      </c>
      <c r="G1191" s="26">
        <v>0.1944</v>
      </c>
      <c r="H1191" s="26">
        <v>0.1944</v>
      </c>
      <c r="I1191" s="27">
        <v>0</v>
      </c>
    </row>
    <row r="1192" spans="2:9">
      <c r="B1192" t="s">
        <v>108</v>
      </c>
      <c r="C1192" t="s">
        <v>834</v>
      </c>
      <c r="D1192" t="s">
        <v>827</v>
      </c>
      <c r="E1192" t="s">
        <v>830</v>
      </c>
      <c r="G1192" s="26">
        <v>1.1016</v>
      </c>
      <c r="H1192" s="26">
        <v>1.1016</v>
      </c>
      <c r="I1192" s="27">
        <v>0</v>
      </c>
    </row>
    <row r="1193" spans="2:9">
      <c r="B1193" t="s">
        <v>291</v>
      </c>
      <c r="C1193" t="s">
        <v>833</v>
      </c>
      <c r="D1193" t="s">
        <v>827</v>
      </c>
      <c r="E1193" t="s">
        <v>830</v>
      </c>
      <c r="G1193" s="26">
        <v>0.928212</v>
      </c>
      <c r="H1193" s="26">
        <v>0.928212</v>
      </c>
      <c r="I1193" s="27">
        <v>0</v>
      </c>
    </row>
    <row r="1194" spans="2:9">
      <c r="B1194" t="s">
        <v>87</v>
      </c>
      <c r="C1194" t="s">
        <v>834</v>
      </c>
      <c r="D1194" t="s">
        <v>827</v>
      </c>
      <c r="E1194" t="s">
        <v>830</v>
      </c>
      <c r="G1194" s="26">
        <v>0.37152</v>
      </c>
      <c r="H1194" s="26">
        <v>0.37152</v>
      </c>
      <c r="I1194" s="27">
        <v>0</v>
      </c>
    </row>
    <row r="1195" spans="2:9">
      <c r="B1195" t="s">
        <v>55</v>
      </c>
      <c r="C1195" t="s">
        <v>833</v>
      </c>
      <c r="D1195" t="s">
        <v>827</v>
      </c>
      <c r="E1195" t="s">
        <v>828</v>
      </c>
      <c r="F1195" t="s">
        <v>56</v>
      </c>
      <c r="G1195" s="26">
        <v>4.2633</v>
      </c>
      <c r="H1195" s="26">
        <v>4.2633</v>
      </c>
      <c r="I1195" s="27">
        <v>0</v>
      </c>
    </row>
    <row r="1196" spans="2:9">
      <c r="B1196" t="s">
        <v>472</v>
      </c>
      <c r="C1196" t="s">
        <v>834</v>
      </c>
      <c r="D1196" t="s">
        <v>827</v>
      </c>
      <c r="E1196" t="s">
        <v>830</v>
      </c>
      <c r="G1196" s="26">
        <v>0.225504</v>
      </c>
      <c r="H1196" s="26">
        <v>0.225504</v>
      </c>
      <c r="I1196" s="27">
        <v>0</v>
      </c>
    </row>
    <row r="1197" spans="2:9">
      <c r="B1197" t="s">
        <v>303</v>
      </c>
      <c r="C1197" t="s">
        <v>834</v>
      </c>
      <c r="D1197" t="s">
        <v>827</v>
      </c>
      <c r="E1197" t="s">
        <v>830</v>
      </c>
      <c r="G1197" s="26">
        <v>7.038088</v>
      </c>
      <c r="H1197" s="26">
        <v>7.038088</v>
      </c>
      <c r="I1197" s="27">
        <v>0</v>
      </c>
    </row>
    <row r="1198" spans="2:9">
      <c r="B1198" t="s">
        <v>172</v>
      </c>
      <c r="C1198" t="s">
        <v>834</v>
      </c>
      <c r="D1198" t="s">
        <v>827</v>
      </c>
      <c r="E1198" t="s">
        <v>828</v>
      </c>
      <c r="F1198" t="s">
        <v>173</v>
      </c>
      <c r="G1198" s="26">
        <v>4.074783</v>
      </c>
      <c r="H1198" s="26">
        <v>4.074783</v>
      </c>
      <c r="I1198" s="27">
        <v>0</v>
      </c>
    </row>
    <row r="1199" spans="2:9">
      <c r="B1199" t="s">
        <v>161</v>
      </c>
      <c r="C1199" t="s">
        <v>834</v>
      </c>
      <c r="D1199" t="s">
        <v>827</v>
      </c>
      <c r="E1199" t="s">
        <v>830</v>
      </c>
      <c r="G1199" s="26">
        <v>2.327592</v>
      </c>
      <c r="H1199" s="26">
        <v>2.327592</v>
      </c>
      <c r="I1199" s="27">
        <v>0</v>
      </c>
    </row>
    <row r="1200" spans="2:9">
      <c r="B1200" t="s">
        <v>585</v>
      </c>
      <c r="C1200" t="s">
        <v>834</v>
      </c>
      <c r="D1200" t="s">
        <v>827</v>
      </c>
      <c r="E1200" t="s">
        <v>830</v>
      </c>
      <c r="G1200" s="26">
        <v>1.839096</v>
      </c>
      <c r="H1200" s="26">
        <v>1.839096</v>
      </c>
      <c r="I1200" s="27">
        <v>0</v>
      </c>
    </row>
    <row r="1201" spans="2:9">
      <c r="B1201" t="s">
        <v>481</v>
      </c>
      <c r="C1201" t="s">
        <v>834</v>
      </c>
      <c r="D1201" t="s">
        <v>827</v>
      </c>
      <c r="E1201" t="s">
        <v>828</v>
      </c>
      <c r="F1201" t="s">
        <v>482</v>
      </c>
      <c r="G1201" s="26">
        <v>4.61304</v>
      </c>
      <c r="H1201" s="26">
        <v>4.61304</v>
      </c>
      <c r="I1201" s="27">
        <v>0</v>
      </c>
    </row>
    <row r="1202" spans="2:9">
      <c r="B1202" t="s">
        <v>593</v>
      </c>
      <c r="C1202" t="s">
        <v>832</v>
      </c>
      <c r="D1202" t="s">
        <v>827</v>
      </c>
      <c r="E1202" t="s">
        <v>828</v>
      </c>
      <c r="F1202" t="s">
        <v>594</v>
      </c>
      <c r="G1202" s="26">
        <v>3.672</v>
      </c>
      <c r="H1202" s="26">
        <v>3.672</v>
      </c>
      <c r="I1202" s="27">
        <v>0</v>
      </c>
    </row>
    <row r="1203" spans="2:9">
      <c r="B1203" t="s">
        <v>610</v>
      </c>
      <c r="C1203" t="s">
        <v>833</v>
      </c>
      <c r="D1203" t="s">
        <v>827</v>
      </c>
      <c r="E1203" t="s">
        <v>828</v>
      </c>
      <c r="F1203" t="s">
        <v>611</v>
      </c>
      <c r="G1203" s="26">
        <v>0.3888</v>
      </c>
      <c r="H1203" s="26">
        <v>0.3888</v>
      </c>
      <c r="I1203" s="27">
        <v>0</v>
      </c>
    </row>
    <row r="1204" spans="2:9">
      <c r="B1204" t="s">
        <v>486</v>
      </c>
      <c r="C1204" t="s">
        <v>833</v>
      </c>
      <c r="D1204" t="s">
        <v>827</v>
      </c>
      <c r="E1204" t="s">
        <v>830</v>
      </c>
      <c r="G1204" s="26">
        <v>0.030565</v>
      </c>
      <c r="H1204" s="26">
        <v>0.030565</v>
      </c>
      <c r="I1204" s="27">
        <v>0</v>
      </c>
    </row>
    <row r="1205" spans="2:9">
      <c r="B1205" t="s">
        <v>339</v>
      </c>
      <c r="C1205" t="s">
        <v>834</v>
      </c>
      <c r="D1205" t="s">
        <v>827</v>
      </c>
      <c r="E1205" t="s">
        <v>830</v>
      </c>
      <c r="G1205" s="26">
        <v>1.631388</v>
      </c>
      <c r="H1205" s="26">
        <v>1.631388</v>
      </c>
      <c r="I1205" s="27">
        <v>0</v>
      </c>
    </row>
    <row r="1206" spans="2:9">
      <c r="B1206" t="s">
        <v>402</v>
      </c>
      <c r="C1206" t="s">
        <v>834</v>
      </c>
      <c r="D1206" t="s">
        <v>827</v>
      </c>
      <c r="E1206" t="s">
        <v>830</v>
      </c>
      <c r="G1206" s="26">
        <v>0.68156</v>
      </c>
      <c r="H1206" s="26">
        <v>0.68156</v>
      </c>
      <c r="I1206" s="27">
        <v>0</v>
      </c>
    </row>
    <row r="1207" spans="2:9">
      <c r="B1207" t="s">
        <v>98</v>
      </c>
      <c r="C1207" t="s">
        <v>833</v>
      </c>
      <c r="D1207" t="s">
        <v>827</v>
      </c>
      <c r="E1207" t="s">
        <v>830</v>
      </c>
      <c r="G1207" s="26">
        <v>0.7776</v>
      </c>
      <c r="H1207" s="26">
        <v>0.7776</v>
      </c>
      <c r="I1207" s="27">
        <v>0</v>
      </c>
    </row>
    <row r="1208" spans="2:9">
      <c r="B1208" t="s">
        <v>509</v>
      </c>
      <c r="C1208" t="s">
        <v>834</v>
      </c>
      <c r="D1208" t="s">
        <v>827</v>
      </c>
      <c r="E1208" t="s">
        <v>830</v>
      </c>
      <c r="G1208" s="26">
        <v>0.38664</v>
      </c>
      <c r="H1208" s="26">
        <v>0.38664</v>
      </c>
      <c r="I1208" s="27">
        <v>0</v>
      </c>
    </row>
    <row r="1209" spans="2:9">
      <c r="B1209" t="s">
        <v>130</v>
      </c>
      <c r="C1209" t="s">
        <v>832</v>
      </c>
      <c r="D1209" t="s">
        <v>827</v>
      </c>
      <c r="E1209" t="s">
        <v>830</v>
      </c>
      <c r="G1209" s="26">
        <v>0.43826</v>
      </c>
      <c r="H1209" s="26">
        <v>0.43826</v>
      </c>
      <c r="I1209" s="27">
        <v>0</v>
      </c>
    </row>
    <row r="1210" spans="2:9">
      <c r="B1210" t="s">
        <v>687</v>
      </c>
      <c r="C1210" t="s">
        <v>833</v>
      </c>
      <c r="D1210" t="s">
        <v>827</v>
      </c>
      <c r="E1210" t="s">
        <v>830</v>
      </c>
      <c r="G1210" s="26">
        <v>0.019485</v>
      </c>
      <c r="H1210" s="26">
        <v>0.019485</v>
      </c>
      <c r="I1210" s="27">
        <v>0</v>
      </c>
    </row>
    <row r="1211" spans="2:9">
      <c r="B1211" t="s">
        <v>403</v>
      </c>
      <c r="C1211" t="s">
        <v>826</v>
      </c>
      <c r="D1211" t="s">
        <v>827</v>
      </c>
      <c r="E1211" t="s">
        <v>828</v>
      </c>
      <c r="F1211" t="s">
        <v>404</v>
      </c>
      <c r="G1211" s="26">
        <v>6.620282</v>
      </c>
      <c r="H1211" s="26">
        <v>6.620282</v>
      </c>
      <c r="I1211" s="27">
        <v>0</v>
      </c>
    </row>
    <row r="1212" spans="2:9">
      <c r="B1212" t="s">
        <v>278</v>
      </c>
      <c r="C1212" t="s">
        <v>829</v>
      </c>
      <c r="D1212" t="s">
        <v>827</v>
      </c>
      <c r="E1212" t="s">
        <v>830</v>
      </c>
      <c r="G1212" s="26">
        <v>0.179876</v>
      </c>
      <c r="H1212" s="26">
        <v>0.179876</v>
      </c>
      <c r="I1212" s="27">
        <v>0</v>
      </c>
    </row>
    <row r="1213" spans="2:9">
      <c r="B1213" t="s">
        <v>87</v>
      </c>
      <c r="C1213" t="s">
        <v>833</v>
      </c>
      <c r="D1213" t="s">
        <v>827</v>
      </c>
      <c r="E1213" t="s">
        <v>830</v>
      </c>
      <c r="G1213" s="26">
        <v>0.7776</v>
      </c>
      <c r="H1213" s="26">
        <v>0.7776</v>
      </c>
      <c r="I1213" s="27">
        <v>0</v>
      </c>
    </row>
    <row r="1214" spans="2:9">
      <c r="B1214" t="s">
        <v>650</v>
      </c>
      <c r="C1214" t="s">
        <v>833</v>
      </c>
      <c r="D1214" t="s">
        <v>827</v>
      </c>
      <c r="E1214" t="s">
        <v>830</v>
      </c>
      <c r="G1214" s="26">
        <v>1.41409</v>
      </c>
      <c r="H1214" s="26">
        <v>1.41409</v>
      </c>
      <c r="I1214" s="27">
        <v>0</v>
      </c>
    </row>
    <row r="1215" spans="2:9">
      <c r="B1215" t="s">
        <v>624</v>
      </c>
      <c r="C1215" t="s">
        <v>833</v>
      </c>
      <c r="D1215" t="s">
        <v>827</v>
      </c>
      <c r="E1215" t="s">
        <v>830</v>
      </c>
      <c r="G1215" s="26">
        <v>0.7776</v>
      </c>
      <c r="H1215" s="26">
        <v>0.7776</v>
      </c>
      <c r="I1215" s="27">
        <v>0</v>
      </c>
    </row>
    <row r="1216" spans="2:9">
      <c r="B1216" t="s">
        <v>84</v>
      </c>
      <c r="C1216" t="s">
        <v>833</v>
      </c>
      <c r="D1216" t="s">
        <v>827</v>
      </c>
      <c r="E1216" t="s">
        <v>830</v>
      </c>
      <c r="G1216" s="26">
        <v>0.1944</v>
      </c>
      <c r="H1216" s="26">
        <v>0.1944</v>
      </c>
      <c r="I1216" s="27">
        <v>0</v>
      </c>
    </row>
    <row r="1217" spans="2:9">
      <c r="B1217" t="s">
        <v>211</v>
      </c>
      <c r="C1217" t="s">
        <v>833</v>
      </c>
      <c r="D1217" t="s">
        <v>827</v>
      </c>
      <c r="E1217" t="s">
        <v>830</v>
      </c>
      <c r="G1217" s="26">
        <v>2.670089</v>
      </c>
      <c r="H1217" s="26">
        <v>2.670089</v>
      </c>
      <c r="I1217" s="27">
        <v>0</v>
      </c>
    </row>
    <row r="1218" spans="2:9">
      <c r="B1218" t="s">
        <v>361</v>
      </c>
      <c r="C1218" t="s">
        <v>834</v>
      </c>
      <c r="D1218" t="s">
        <v>827</v>
      </c>
      <c r="E1218" t="s">
        <v>830</v>
      </c>
      <c r="G1218" s="26">
        <v>3.846837</v>
      </c>
      <c r="H1218" s="26">
        <v>3.846837</v>
      </c>
      <c r="I1218" s="27">
        <v>0</v>
      </c>
    </row>
    <row r="1219" spans="2:9">
      <c r="B1219" t="s">
        <v>655</v>
      </c>
      <c r="C1219" t="s">
        <v>834</v>
      </c>
      <c r="D1219" t="s">
        <v>827</v>
      </c>
      <c r="E1219" t="s">
        <v>830</v>
      </c>
      <c r="G1219" s="26">
        <v>4.36464</v>
      </c>
      <c r="H1219" s="26">
        <v>4.36464</v>
      </c>
      <c r="I1219" s="27">
        <v>0</v>
      </c>
    </row>
    <row r="1220" spans="2:9">
      <c r="B1220" t="s">
        <v>435</v>
      </c>
      <c r="C1220" t="s">
        <v>834</v>
      </c>
      <c r="D1220" t="s">
        <v>827</v>
      </c>
      <c r="E1220" t="s">
        <v>830</v>
      </c>
      <c r="G1220" s="26">
        <v>1.78268</v>
      </c>
      <c r="H1220" s="26">
        <v>1.78268</v>
      </c>
      <c r="I1220" s="27">
        <v>0</v>
      </c>
    </row>
    <row r="1221" spans="2:9">
      <c r="B1221" t="s">
        <v>735</v>
      </c>
      <c r="C1221" t="s">
        <v>829</v>
      </c>
      <c r="D1221" t="s">
        <v>827</v>
      </c>
      <c r="E1221" t="s">
        <v>830</v>
      </c>
      <c r="G1221" s="26">
        <v>0.167948</v>
      </c>
      <c r="H1221" s="26">
        <v>0.167948</v>
      </c>
      <c r="I1221" s="27">
        <v>0</v>
      </c>
    </row>
    <row r="1222" spans="2:9">
      <c r="B1222" t="s">
        <v>394</v>
      </c>
      <c r="C1222" t="s">
        <v>834</v>
      </c>
      <c r="D1222" t="s">
        <v>827</v>
      </c>
      <c r="E1222" t="s">
        <v>830</v>
      </c>
      <c r="G1222" s="26">
        <v>3.068271</v>
      </c>
      <c r="H1222" s="26">
        <v>3.068271</v>
      </c>
      <c r="I1222" s="27">
        <v>0</v>
      </c>
    </row>
    <row r="1223" spans="2:9">
      <c r="B1223" t="s">
        <v>356</v>
      </c>
      <c r="C1223" t="s">
        <v>834</v>
      </c>
      <c r="D1223" t="s">
        <v>827</v>
      </c>
      <c r="E1223" t="s">
        <v>830</v>
      </c>
      <c r="G1223" s="26">
        <v>0.0694</v>
      </c>
      <c r="H1223" s="26">
        <v>0.0694</v>
      </c>
      <c r="I1223" s="27">
        <v>0</v>
      </c>
    </row>
    <row r="1224" spans="2:9">
      <c r="B1224" t="s">
        <v>506</v>
      </c>
      <c r="C1224" t="s">
        <v>833</v>
      </c>
      <c r="D1224" t="s">
        <v>827</v>
      </c>
      <c r="E1224" t="s">
        <v>830</v>
      </c>
      <c r="G1224" s="26">
        <v>0.5832</v>
      </c>
      <c r="H1224" s="26">
        <v>0.5832</v>
      </c>
      <c r="I1224" s="27">
        <v>0</v>
      </c>
    </row>
    <row r="1225" spans="2:9">
      <c r="B1225" t="s">
        <v>297</v>
      </c>
      <c r="C1225" t="s">
        <v>833</v>
      </c>
      <c r="D1225" t="s">
        <v>827</v>
      </c>
      <c r="E1225" t="s">
        <v>830</v>
      </c>
      <c r="G1225" s="26">
        <v>1.439012</v>
      </c>
      <c r="H1225" s="26">
        <v>1.439012</v>
      </c>
      <c r="I1225" s="27">
        <v>0</v>
      </c>
    </row>
    <row r="1226" spans="2:9">
      <c r="B1226" t="s">
        <v>586</v>
      </c>
      <c r="C1226" t="s">
        <v>833</v>
      </c>
      <c r="D1226" t="s">
        <v>827</v>
      </c>
      <c r="E1226" t="s">
        <v>828</v>
      </c>
      <c r="F1226" t="s">
        <v>587</v>
      </c>
      <c r="G1226" s="26">
        <v>1.1664</v>
      </c>
      <c r="H1226" s="26">
        <v>1.1664</v>
      </c>
      <c r="I1226" s="27">
        <v>0</v>
      </c>
    </row>
    <row r="1227" spans="2:9">
      <c r="B1227" t="s">
        <v>191</v>
      </c>
      <c r="C1227" t="s">
        <v>834</v>
      </c>
      <c r="D1227" t="s">
        <v>827</v>
      </c>
      <c r="E1227" t="s">
        <v>830</v>
      </c>
      <c r="G1227" s="26">
        <v>0.090288</v>
      </c>
      <c r="H1227" s="26">
        <v>0.090288</v>
      </c>
      <c r="I1227" s="27">
        <v>0</v>
      </c>
    </row>
    <row r="1228" spans="2:9">
      <c r="B1228" t="s">
        <v>200</v>
      </c>
      <c r="C1228" t="s">
        <v>834</v>
      </c>
      <c r="D1228" t="s">
        <v>827</v>
      </c>
      <c r="E1228" t="s">
        <v>830</v>
      </c>
      <c r="G1228" s="26">
        <v>3.527598</v>
      </c>
      <c r="H1228" s="26">
        <v>3.527598</v>
      </c>
      <c r="I1228" s="27">
        <v>0</v>
      </c>
    </row>
    <row r="1229" spans="2:9">
      <c r="B1229" t="s">
        <v>417</v>
      </c>
      <c r="C1229" t="s">
        <v>832</v>
      </c>
      <c r="D1229" t="s">
        <v>827</v>
      </c>
      <c r="E1229" t="s">
        <v>828</v>
      </c>
      <c r="F1229" t="s">
        <v>418</v>
      </c>
      <c r="G1229" s="26">
        <v>0.03536</v>
      </c>
      <c r="H1229" s="26">
        <v>0.03536</v>
      </c>
      <c r="I1229" s="27">
        <v>0</v>
      </c>
    </row>
    <row r="1230" spans="2:9">
      <c r="B1230" t="s">
        <v>817</v>
      </c>
      <c r="C1230" t="s">
        <v>833</v>
      </c>
      <c r="D1230" t="s">
        <v>827</v>
      </c>
      <c r="E1230" t="s">
        <v>830</v>
      </c>
      <c r="G1230" s="26">
        <v>0.1944</v>
      </c>
      <c r="H1230" s="26">
        <v>0.1944</v>
      </c>
      <c r="I1230" s="27">
        <v>0</v>
      </c>
    </row>
    <row r="1231" spans="2:9">
      <c r="B1231" t="s">
        <v>565</v>
      </c>
      <c r="C1231" t="s">
        <v>833</v>
      </c>
      <c r="D1231" t="s">
        <v>827</v>
      </c>
      <c r="E1231" t="s">
        <v>830</v>
      </c>
      <c r="G1231" s="26">
        <v>0.1944</v>
      </c>
      <c r="H1231" s="26">
        <v>0.1944</v>
      </c>
      <c r="I1231" s="27">
        <v>0</v>
      </c>
    </row>
  </sheetData>
  <autoFilter xmlns:etc="http://www.wps.cn/officeDocument/2017/etCustomData" ref="B1:J1231" etc:filterBottomFollowUsedRange="0">
    <extLst/>
  </autoFilter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workbookViewId="0">
      <selection activeCell="A36" sqref="A36"/>
    </sheetView>
  </sheetViews>
  <sheetFormatPr defaultColWidth="8.72727272727273" defaultRowHeight="25" customHeight="1" outlineLevelCol="7"/>
  <cols>
    <col min="1" max="1" width="32" customWidth="1"/>
    <col min="2" max="2" width="32.6363636363636" customWidth="1"/>
    <col min="3" max="3" width="7.54545454545455" customWidth="1"/>
    <col min="4" max="4" width="13.6363636363636" customWidth="1"/>
    <col min="5" max="5" width="14" customWidth="1"/>
    <col min="6" max="6" width="16.2727272727273" customWidth="1"/>
    <col min="7" max="7" width="14" customWidth="1"/>
    <col min="8" max="8" width="9.54545454545454" customWidth="1"/>
  </cols>
  <sheetData>
    <row r="1" customHeight="1" spans="1:8">
      <c r="A1" t="s">
        <v>835</v>
      </c>
      <c r="B1" t="s">
        <v>836</v>
      </c>
      <c r="C1" t="s">
        <v>1</v>
      </c>
      <c r="D1" t="s">
        <v>837</v>
      </c>
      <c r="E1" t="s">
        <v>824</v>
      </c>
      <c r="F1" t="s">
        <v>838</v>
      </c>
      <c r="G1" t="s">
        <v>822</v>
      </c>
      <c r="H1" t="s">
        <v>839</v>
      </c>
    </row>
    <row r="2" customHeight="1" spans="1:8">
      <c r="A2" s="8" t="s">
        <v>840</v>
      </c>
      <c r="B2" s="9" t="s">
        <v>841</v>
      </c>
      <c r="C2" s="10">
        <v>984</v>
      </c>
      <c r="D2" s="11">
        <v>430000</v>
      </c>
      <c r="E2" s="11">
        <v>0</v>
      </c>
      <c r="F2" s="11">
        <v>0</v>
      </c>
      <c r="G2" s="12">
        <f t="shared" ref="G2:G46" si="0">SUM(D2:F2)</f>
        <v>430000</v>
      </c>
      <c r="H2" s="9" t="s">
        <v>842</v>
      </c>
    </row>
    <row r="3" customHeight="1" spans="1:8">
      <c r="A3" s="8" t="s">
        <v>514</v>
      </c>
      <c r="B3" s="9" t="s">
        <v>843</v>
      </c>
      <c r="C3" s="8" t="s">
        <v>513</v>
      </c>
      <c r="D3" s="11">
        <v>108000</v>
      </c>
      <c r="E3" s="13">
        <v>0</v>
      </c>
      <c r="F3" s="13"/>
      <c r="G3" s="14">
        <f t="shared" si="0"/>
        <v>108000</v>
      </c>
      <c r="H3" s="9" t="s">
        <v>844</v>
      </c>
    </row>
    <row r="4" customHeight="1" spans="1:8">
      <c r="A4" s="8" t="s">
        <v>554</v>
      </c>
      <c r="B4" s="9" t="s">
        <v>845</v>
      </c>
      <c r="C4" s="8" t="s">
        <v>553</v>
      </c>
      <c r="D4" s="13"/>
      <c r="E4" s="13">
        <v>97611.537081</v>
      </c>
      <c r="F4" s="13"/>
      <c r="G4" s="14">
        <f t="shared" si="0"/>
        <v>97611.537081</v>
      </c>
      <c r="H4" s="9" t="s">
        <v>844</v>
      </c>
    </row>
    <row r="5" customHeight="1" spans="1:8">
      <c r="A5" s="8" t="s">
        <v>5</v>
      </c>
      <c r="B5" s="9" t="s">
        <v>841</v>
      </c>
      <c r="C5" s="8" t="s">
        <v>6</v>
      </c>
      <c r="D5" s="11">
        <v>-49241.1</v>
      </c>
      <c r="E5" s="13">
        <v>110340.459592</v>
      </c>
      <c r="F5" s="13"/>
      <c r="G5" s="14">
        <f t="shared" si="0"/>
        <v>61099.359592</v>
      </c>
      <c r="H5" s="9" t="s">
        <v>844</v>
      </c>
    </row>
    <row r="6" customHeight="1" spans="1:8">
      <c r="A6" s="8" t="s">
        <v>580</v>
      </c>
      <c r="B6" s="9" t="s">
        <v>846</v>
      </c>
      <c r="C6" s="8" t="s">
        <v>579</v>
      </c>
      <c r="D6" s="13"/>
      <c r="E6" s="13">
        <v>53156.188241</v>
      </c>
      <c r="F6" s="13"/>
      <c r="G6" s="14">
        <f t="shared" si="0"/>
        <v>53156.188241</v>
      </c>
      <c r="H6" s="9" t="s">
        <v>844</v>
      </c>
    </row>
    <row r="7" customHeight="1" spans="1:8">
      <c r="A7" s="8" t="s">
        <v>847</v>
      </c>
      <c r="B7" s="9" t="s">
        <v>841</v>
      </c>
      <c r="C7" s="15"/>
      <c r="D7" s="11">
        <f>12*3.2*24*30</f>
        <v>27648</v>
      </c>
      <c r="E7" s="11">
        <v>0</v>
      </c>
      <c r="F7" s="11">
        <v>0</v>
      </c>
      <c r="G7" s="12">
        <f t="shared" si="0"/>
        <v>27648</v>
      </c>
      <c r="H7" s="9" t="s">
        <v>842</v>
      </c>
    </row>
    <row r="8" customHeight="1" spans="1:8">
      <c r="A8" s="8" t="s">
        <v>529</v>
      </c>
      <c r="B8" s="9" t="s">
        <v>848</v>
      </c>
      <c r="C8" s="8" t="s">
        <v>528</v>
      </c>
      <c r="D8" s="13"/>
      <c r="E8" s="13">
        <v>18814.949108</v>
      </c>
      <c r="F8" s="13"/>
      <c r="G8" s="14">
        <f t="shared" si="0"/>
        <v>18814.949108</v>
      </c>
      <c r="H8" s="9" t="s">
        <v>844</v>
      </c>
    </row>
    <row r="9" customHeight="1" spans="1:8">
      <c r="A9" s="8" t="s">
        <v>517</v>
      </c>
      <c r="B9" s="9" t="s">
        <v>846</v>
      </c>
      <c r="C9" s="8" t="s">
        <v>516</v>
      </c>
      <c r="D9" s="13"/>
      <c r="E9" s="13">
        <v>13021.492205</v>
      </c>
      <c r="F9" s="13"/>
      <c r="G9" s="14">
        <f t="shared" si="0"/>
        <v>13021.492205</v>
      </c>
      <c r="H9" s="9" t="s">
        <v>844</v>
      </c>
    </row>
    <row r="10" customHeight="1" spans="1:8">
      <c r="A10" s="8" t="s">
        <v>611</v>
      </c>
      <c r="B10" s="9" t="s">
        <v>611</v>
      </c>
      <c r="C10" s="8" t="s">
        <v>610</v>
      </c>
      <c r="D10" s="13"/>
      <c r="E10" s="13">
        <v>4931.545438</v>
      </c>
      <c r="F10" s="13"/>
      <c r="G10" s="14">
        <f t="shared" si="0"/>
        <v>4931.545438</v>
      </c>
      <c r="H10" s="9" t="s">
        <v>842</v>
      </c>
    </row>
    <row r="11" customHeight="1" spans="1:8">
      <c r="A11" s="8" t="s">
        <v>849</v>
      </c>
      <c r="B11" s="8" t="s">
        <v>849</v>
      </c>
      <c r="C11" s="16">
        <v>6367</v>
      </c>
      <c r="D11" s="11">
        <v>0</v>
      </c>
      <c r="E11" s="11">
        <v>4915.77</v>
      </c>
      <c r="F11" s="11">
        <v>0</v>
      </c>
      <c r="G11" s="12">
        <f t="shared" si="0"/>
        <v>4915.77</v>
      </c>
      <c r="H11" s="9" t="s">
        <v>850</v>
      </c>
    </row>
    <row r="12" customHeight="1" spans="1:8">
      <c r="A12" s="8" t="s">
        <v>103</v>
      </c>
      <c r="B12" s="9" t="s">
        <v>851</v>
      </c>
      <c r="C12" s="8" t="s">
        <v>102</v>
      </c>
      <c r="D12" s="13"/>
      <c r="E12" s="13">
        <v>4461.856529</v>
      </c>
      <c r="F12" s="13"/>
      <c r="G12" s="14">
        <f t="shared" si="0"/>
        <v>4461.856529</v>
      </c>
      <c r="H12" s="9" t="s">
        <v>850</v>
      </c>
    </row>
    <row r="13" customHeight="1" spans="1:8">
      <c r="A13" s="8" t="s">
        <v>587</v>
      </c>
      <c r="B13" s="9" t="s">
        <v>852</v>
      </c>
      <c r="C13" s="8" t="s">
        <v>586</v>
      </c>
      <c r="D13" s="13"/>
      <c r="E13" s="13">
        <v>3899.102311</v>
      </c>
      <c r="F13" s="13"/>
      <c r="G13" s="14">
        <f t="shared" si="0"/>
        <v>3899.102311</v>
      </c>
      <c r="H13" s="9" t="s">
        <v>844</v>
      </c>
    </row>
    <row r="14" customHeight="1" spans="1:8">
      <c r="A14" s="8" t="s">
        <v>563</v>
      </c>
      <c r="B14" s="9" t="s">
        <v>853</v>
      </c>
      <c r="C14" s="8" t="s">
        <v>562</v>
      </c>
      <c r="D14" s="13"/>
      <c r="E14" s="13">
        <v>2466.854826</v>
      </c>
      <c r="F14" s="13"/>
      <c r="G14" s="14">
        <f t="shared" si="0"/>
        <v>2466.854826</v>
      </c>
      <c r="H14" s="9" t="s">
        <v>844</v>
      </c>
    </row>
    <row r="15" customHeight="1" spans="1:8">
      <c r="A15" s="8" t="s">
        <v>228</v>
      </c>
      <c r="B15" s="9" t="s">
        <v>748</v>
      </c>
      <c r="C15" s="8" t="s">
        <v>227</v>
      </c>
      <c r="D15" s="13"/>
      <c r="E15" s="13">
        <v>1.253948</v>
      </c>
      <c r="F15" s="13">
        <v>1517.79</v>
      </c>
      <c r="G15" s="14">
        <f t="shared" si="0"/>
        <v>1519.043948</v>
      </c>
      <c r="H15" s="9" t="s">
        <v>850</v>
      </c>
    </row>
    <row r="16" customHeight="1" spans="1:8">
      <c r="A16" s="8" t="s">
        <v>811</v>
      </c>
      <c r="B16" s="9" t="s">
        <v>811</v>
      </c>
      <c r="C16" s="8" t="s">
        <v>810</v>
      </c>
      <c r="D16" s="13"/>
      <c r="E16" s="13">
        <v>1394.293178</v>
      </c>
      <c r="F16" s="13"/>
      <c r="G16" s="14">
        <f t="shared" si="0"/>
        <v>1394.293178</v>
      </c>
      <c r="H16" s="9" t="s">
        <v>844</v>
      </c>
    </row>
    <row r="17" customHeight="1" spans="1:8">
      <c r="A17" s="8" t="s">
        <v>14</v>
      </c>
      <c r="B17" s="9" t="s">
        <v>14</v>
      </c>
      <c r="C17" s="8" t="s">
        <v>13</v>
      </c>
      <c r="D17" s="13"/>
      <c r="E17" s="13">
        <v>1345.80944</v>
      </c>
      <c r="F17" s="13"/>
      <c r="G17" s="14">
        <f t="shared" si="0"/>
        <v>1345.80944</v>
      </c>
      <c r="H17" s="9" t="s">
        <v>844</v>
      </c>
    </row>
    <row r="18" customHeight="1" spans="1:8">
      <c r="A18" s="8" t="s">
        <v>763</v>
      </c>
      <c r="B18" s="9" t="s">
        <v>854</v>
      </c>
      <c r="C18" s="8" t="s">
        <v>762</v>
      </c>
      <c r="D18" s="13"/>
      <c r="E18" s="13">
        <v>1338.430046</v>
      </c>
      <c r="F18" s="13"/>
      <c r="G18" s="14">
        <f t="shared" si="0"/>
        <v>1338.430046</v>
      </c>
      <c r="H18" s="9" t="s">
        <v>844</v>
      </c>
    </row>
    <row r="19" customHeight="1" spans="1:8">
      <c r="A19" s="8" t="s">
        <v>617</v>
      </c>
      <c r="B19" s="9" t="s">
        <v>855</v>
      </c>
      <c r="C19" s="8" t="s">
        <v>616</v>
      </c>
      <c r="D19" s="13"/>
      <c r="E19" s="13">
        <v>607.631357</v>
      </c>
      <c r="F19" s="13"/>
      <c r="G19" s="14">
        <f t="shared" si="0"/>
        <v>607.631357</v>
      </c>
      <c r="H19" s="9" t="s">
        <v>844</v>
      </c>
    </row>
    <row r="20" customHeight="1" spans="1:8">
      <c r="A20" s="8" t="s">
        <v>748</v>
      </c>
      <c r="B20" s="9" t="s">
        <v>748</v>
      </c>
      <c r="C20" s="8" t="s">
        <v>747</v>
      </c>
      <c r="D20" s="13"/>
      <c r="E20" s="13">
        <v>603.300278</v>
      </c>
      <c r="F20" s="13"/>
      <c r="G20" s="14">
        <f t="shared" si="0"/>
        <v>603.300278</v>
      </c>
      <c r="H20" s="9" t="s">
        <v>842</v>
      </c>
    </row>
    <row r="21" customHeight="1" spans="1:8">
      <c r="A21" s="8" t="s">
        <v>272</v>
      </c>
      <c r="B21" s="9" t="s">
        <v>856</v>
      </c>
      <c r="C21" s="8" t="s">
        <v>271</v>
      </c>
      <c r="D21" s="13"/>
      <c r="E21" s="13">
        <v>540.538098</v>
      </c>
      <c r="F21" s="13"/>
      <c r="G21" s="14">
        <f t="shared" si="0"/>
        <v>540.538098</v>
      </c>
      <c r="H21" s="9" t="s">
        <v>842</v>
      </c>
    </row>
    <row r="22" customHeight="1" spans="1:8">
      <c r="A22" s="8" t="s">
        <v>768</v>
      </c>
      <c r="B22" s="9" t="s">
        <v>857</v>
      </c>
      <c r="C22" s="8" t="s">
        <v>767</v>
      </c>
      <c r="D22" s="13"/>
      <c r="E22" s="13">
        <v>533.510186</v>
      </c>
      <c r="F22" s="13"/>
      <c r="G22" s="14">
        <f t="shared" si="0"/>
        <v>533.510186</v>
      </c>
      <c r="H22" s="9" t="s">
        <v>844</v>
      </c>
    </row>
    <row r="23" customHeight="1" spans="1:8">
      <c r="A23" s="8" t="s">
        <v>715</v>
      </c>
      <c r="B23" s="9" t="s">
        <v>843</v>
      </c>
      <c r="C23" s="8" t="s">
        <v>714</v>
      </c>
      <c r="D23" s="13"/>
      <c r="E23" s="13">
        <v>482.793132</v>
      </c>
      <c r="F23" s="13"/>
      <c r="G23" s="14">
        <f t="shared" si="0"/>
        <v>482.793132</v>
      </c>
      <c r="H23" s="9" t="s">
        <v>844</v>
      </c>
    </row>
    <row r="24" customHeight="1" spans="1:8">
      <c r="A24" s="8" t="s">
        <v>171</v>
      </c>
      <c r="B24" s="9" t="s">
        <v>171</v>
      </c>
      <c r="C24" s="8" t="s">
        <v>170</v>
      </c>
      <c r="D24" s="13"/>
      <c r="E24" s="13">
        <v>377.662677</v>
      </c>
      <c r="F24" s="13"/>
      <c r="G24" s="14">
        <f t="shared" si="0"/>
        <v>377.662677</v>
      </c>
      <c r="H24" s="9" t="s">
        <v>842</v>
      </c>
    </row>
    <row r="25" customHeight="1" spans="1:8">
      <c r="A25" s="8" t="s">
        <v>858</v>
      </c>
      <c r="B25" s="9" t="s">
        <v>859</v>
      </c>
      <c r="C25" s="17">
        <v>14829</v>
      </c>
      <c r="D25" s="8"/>
      <c r="E25" s="18">
        <v>0</v>
      </c>
      <c r="F25" s="19">
        <v>268.8</v>
      </c>
      <c r="G25" s="20">
        <f t="shared" si="0"/>
        <v>268.8</v>
      </c>
      <c r="H25" s="9" t="s">
        <v>850</v>
      </c>
    </row>
    <row r="26" customHeight="1" spans="1:8">
      <c r="A26" s="8" t="s">
        <v>247</v>
      </c>
      <c r="B26" s="9" t="s">
        <v>860</v>
      </c>
      <c r="C26" s="8" t="s">
        <v>246</v>
      </c>
      <c r="D26" s="13"/>
      <c r="E26" s="13">
        <v>253.807832</v>
      </c>
      <c r="F26" s="13"/>
      <c r="G26" s="14">
        <f t="shared" si="0"/>
        <v>253.807832</v>
      </c>
      <c r="H26" s="9" t="s">
        <v>850</v>
      </c>
    </row>
    <row r="27" customHeight="1" spans="1:8">
      <c r="A27" s="8" t="s">
        <v>169</v>
      </c>
      <c r="B27" s="9"/>
      <c r="C27" s="8" t="s">
        <v>168</v>
      </c>
      <c r="D27" s="13"/>
      <c r="E27" s="21">
        <v>230.413782</v>
      </c>
      <c r="F27" s="13"/>
      <c r="G27" s="22">
        <f t="shared" si="0"/>
        <v>230.413782</v>
      </c>
      <c r="H27" s="9" t="s">
        <v>842</v>
      </c>
    </row>
    <row r="28" customHeight="1" spans="1:8">
      <c r="A28" s="8" t="s">
        <v>139</v>
      </c>
      <c r="B28" s="9" t="s">
        <v>139</v>
      </c>
      <c r="C28" s="23" t="s">
        <v>138</v>
      </c>
      <c r="D28" s="13"/>
      <c r="E28" s="21">
        <v>153.221124</v>
      </c>
      <c r="F28" s="13"/>
      <c r="G28" s="22">
        <f t="shared" si="0"/>
        <v>153.221124</v>
      </c>
      <c r="H28" s="9" t="s">
        <v>842</v>
      </c>
    </row>
    <row r="29" customHeight="1" spans="1:8">
      <c r="A29" s="9" t="s">
        <v>511</v>
      </c>
      <c r="B29" s="9" t="s">
        <v>511</v>
      </c>
      <c r="C29" s="23" t="s">
        <v>510</v>
      </c>
      <c r="D29" s="24"/>
      <c r="E29" s="21">
        <v>44.269936</v>
      </c>
      <c r="F29" s="24"/>
      <c r="G29" s="22">
        <f t="shared" si="0"/>
        <v>44.269936</v>
      </c>
      <c r="H29" s="8"/>
    </row>
    <row r="30" customHeight="1" spans="1:8">
      <c r="A30" s="9" t="s">
        <v>626</v>
      </c>
      <c r="B30" s="9" t="s">
        <v>626</v>
      </c>
      <c r="C30" s="23" t="s">
        <v>625</v>
      </c>
      <c r="D30" s="24"/>
      <c r="E30" s="21">
        <v>26.992271</v>
      </c>
      <c r="F30" s="24"/>
      <c r="G30" s="22">
        <f t="shared" si="0"/>
        <v>26.992271</v>
      </c>
      <c r="H30" s="8"/>
    </row>
    <row r="31" customHeight="1" spans="1:8">
      <c r="A31" s="9" t="s">
        <v>591</v>
      </c>
      <c r="B31" s="9" t="s">
        <v>861</v>
      </c>
      <c r="C31" s="23" t="s">
        <v>590</v>
      </c>
      <c r="D31" s="24"/>
      <c r="E31" s="21">
        <v>21.03048</v>
      </c>
      <c r="F31" s="24"/>
      <c r="G31" s="22">
        <f t="shared" si="0"/>
        <v>21.03048</v>
      </c>
      <c r="H31" s="8"/>
    </row>
    <row r="32" customHeight="1" spans="1:8">
      <c r="A32" s="9" t="s">
        <v>33</v>
      </c>
      <c r="B32" s="9" t="s">
        <v>33</v>
      </c>
      <c r="C32" s="23" t="s">
        <v>32</v>
      </c>
      <c r="D32" s="13"/>
      <c r="E32" s="21">
        <v>18.532064</v>
      </c>
      <c r="F32" s="13"/>
      <c r="G32" s="22">
        <f t="shared" si="0"/>
        <v>18.532064</v>
      </c>
      <c r="H32" s="9" t="s">
        <v>842</v>
      </c>
    </row>
    <row r="33" customHeight="1" spans="1:8">
      <c r="A33" s="9" t="s">
        <v>107</v>
      </c>
      <c r="B33" s="9" t="s">
        <v>107</v>
      </c>
      <c r="C33" s="23" t="s">
        <v>106</v>
      </c>
      <c r="D33" s="13"/>
      <c r="E33" s="21">
        <v>17.802622</v>
      </c>
      <c r="F33" s="13"/>
      <c r="G33" s="22">
        <f t="shared" si="0"/>
        <v>17.802622</v>
      </c>
      <c r="H33" s="9" t="s">
        <v>842</v>
      </c>
    </row>
    <row r="34" customHeight="1" spans="1:8">
      <c r="A34" s="9" t="s">
        <v>671</v>
      </c>
      <c r="B34" s="9" t="s">
        <v>862</v>
      </c>
      <c r="C34" s="25" t="s">
        <v>670</v>
      </c>
      <c r="D34" s="24"/>
      <c r="E34" s="21">
        <v>17.389035</v>
      </c>
      <c r="F34" s="24"/>
      <c r="G34" s="22">
        <f t="shared" si="0"/>
        <v>17.389035</v>
      </c>
      <c r="H34" s="8"/>
    </row>
    <row r="35" customHeight="1" spans="1:8">
      <c r="A35" s="9" t="s">
        <v>68</v>
      </c>
      <c r="B35" s="9" t="s">
        <v>68</v>
      </c>
      <c r="C35" s="25" t="s">
        <v>67</v>
      </c>
      <c r="D35" s="13"/>
      <c r="E35" s="21">
        <v>14.935403</v>
      </c>
      <c r="F35" s="13"/>
      <c r="G35" s="22">
        <f t="shared" si="0"/>
        <v>14.935403</v>
      </c>
      <c r="H35" s="9" t="s">
        <v>842</v>
      </c>
    </row>
    <row r="36" customHeight="1" spans="1:8">
      <c r="A36" s="9" t="s">
        <v>572</v>
      </c>
      <c r="B36" s="9"/>
      <c r="C36" s="23" t="s">
        <v>571</v>
      </c>
      <c r="D36" s="24"/>
      <c r="E36" s="21">
        <v>13.831389</v>
      </c>
      <c r="F36" s="24"/>
      <c r="G36" s="22">
        <f t="shared" si="0"/>
        <v>13.831389</v>
      </c>
      <c r="H36" s="8"/>
    </row>
    <row r="37" customHeight="1" spans="1:8">
      <c r="A37" s="9" t="s">
        <v>20</v>
      </c>
      <c r="B37" s="9" t="s">
        <v>863</v>
      </c>
      <c r="C37" s="25" t="s">
        <v>19</v>
      </c>
      <c r="D37" s="24"/>
      <c r="E37" s="21">
        <v>6.835596</v>
      </c>
      <c r="F37" s="24"/>
      <c r="G37" s="22">
        <f t="shared" si="0"/>
        <v>6.835596</v>
      </c>
      <c r="H37" s="8"/>
    </row>
    <row r="38" customHeight="1" spans="1:8">
      <c r="A38" s="9" t="s">
        <v>491</v>
      </c>
      <c r="B38" s="9"/>
      <c r="C38" s="25" t="s">
        <v>490</v>
      </c>
      <c r="D38" s="24"/>
      <c r="E38" s="21">
        <v>4.078856</v>
      </c>
      <c r="F38" s="24"/>
      <c r="G38" s="22">
        <f t="shared" si="0"/>
        <v>4.078856</v>
      </c>
      <c r="H38" s="8"/>
    </row>
    <row r="39" customHeight="1" spans="1:8">
      <c r="A39" s="9" t="s">
        <v>804</v>
      </c>
      <c r="B39" s="9" t="s">
        <v>864</v>
      </c>
      <c r="C39" s="25" t="s">
        <v>803</v>
      </c>
      <c r="D39" s="24"/>
      <c r="E39" s="21">
        <v>3.077145</v>
      </c>
      <c r="F39" s="24"/>
      <c r="G39" s="22">
        <f t="shared" si="0"/>
        <v>3.077145</v>
      </c>
      <c r="H39" s="8"/>
    </row>
    <row r="40" customHeight="1" spans="1:8">
      <c r="A40" s="9" t="s">
        <v>720</v>
      </c>
      <c r="B40" s="9" t="s">
        <v>720</v>
      </c>
      <c r="C40" s="25" t="s">
        <v>729</v>
      </c>
      <c r="D40" s="24"/>
      <c r="E40" s="21">
        <v>3.05975</v>
      </c>
      <c r="F40" s="24"/>
      <c r="G40" s="22">
        <f t="shared" si="0"/>
        <v>3.05975</v>
      </c>
      <c r="H40" s="8"/>
    </row>
    <row r="41" customHeight="1" spans="1:8">
      <c r="A41" s="9" t="s">
        <v>476</v>
      </c>
      <c r="B41" s="9" t="s">
        <v>865</v>
      </c>
      <c r="C41" s="25" t="s">
        <v>475</v>
      </c>
      <c r="D41" s="24"/>
      <c r="E41" s="21">
        <v>1.7496</v>
      </c>
      <c r="F41" s="24"/>
      <c r="G41" s="22">
        <f t="shared" si="0"/>
        <v>1.7496</v>
      </c>
      <c r="H41" s="8"/>
    </row>
    <row r="42" customHeight="1" spans="1:8">
      <c r="A42" s="9" t="s">
        <v>173</v>
      </c>
      <c r="B42" s="9" t="s">
        <v>866</v>
      </c>
      <c r="C42" s="23" t="s">
        <v>172</v>
      </c>
      <c r="D42" s="13"/>
      <c r="E42" s="21">
        <v>1.604322</v>
      </c>
      <c r="F42" s="13"/>
      <c r="G42" s="22">
        <f t="shared" si="0"/>
        <v>1.604322</v>
      </c>
      <c r="H42" s="9" t="s">
        <v>850</v>
      </c>
    </row>
    <row r="43" customHeight="1" spans="1:8">
      <c r="A43" s="9" t="s">
        <v>482</v>
      </c>
      <c r="B43" s="9" t="s">
        <v>867</v>
      </c>
      <c r="C43" s="25" t="s">
        <v>481</v>
      </c>
      <c r="D43" s="13"/>
      <c r="E43" s="21">
        <v>1.413378</v>
      </c>
      <c r="F43" s="13"/>
      <c r="G43" s="22">
        <f t="shared" si="0"/>
        <v>1.413378</v>
      </c>
      <c r="H43" s="9" t="s">
        <v>844</v>
      </c>
    </row>
    <row r="44" customHeight="1" spans="1:8">
      <c r="A44" s="9" t="s">
        <v>44</v>
      </c>
      <c r="B44" s="9" t="s">
        <v>868</v>
      </c>
      <c r="C44" s="25" t="s">
        <v>43</v>
      </c>
      <c r="D44" s="24"/>
      <c r="E44" s="21">
        <v>0.456705</v>
      </c>
      <c r="F44" s="24"/>
      <c r="G44" s="22">
        <f t="shared" si="0"/>
        <v>0.456705</v>
      </c>
      <c r="H44" s="8"/>
    </row>
    <row r="45" customHeight="1" spans="1:8">
      <c r="A45" s="9" t="s">
        <v>389</v>
      </c>
      <c r="B45" s="9" t="s">
        <v>851</v>
      </c>
      <c r="C45" s="23" t="s">
        <v>388</v>
      </c>
      <c r="D45" s="13"/>
      <c r="E45" s="21">
        <v>0.443046</v>
      </c>
      <c r="F45" s="13"/>
      <c r="G45" s="22">
        <f t="shared" si="0"/>
        <v>0.443046</v>
      </c>
      <c r="H45" s="9" t="s">
        <v>850</v>
      </c>
    </row>
    <row r="46" customHeight="1" spans="1:8">
      <c r="A46" s="9" t="s">
        <v>266</v>
      </c>
      <c r="B46" s="9" t="s">
        <v>869</v>
      </c>
      <c r="C46" s="23" t="s">
        <v>265</v>
      </c>
      <c r="D46" s="13"/>
      <c r="E46" s="13">
        <v>0.312901</v>
      </c>
      <c r="F46" s="13"/>
      <c r="G46" s="22">
        <f t="shared" si="0"/>
        <v>0.312901</v>
      </c>
      <c r="H46" s="9" t="s">
        <v>850</v>
      </c>
    </row>
  </sheetData>
  <autoFilter xmlns:etc="http://www.wps.cn/officeDocument/2017/etCustomData" ref="A1:G46" etc:filterBottomFollowUsedRange="0">
    <sortState ref="A1:G46">
      <sortCondition ref="G2" descending="1"/>
    </sortState>
    <extLst/>
  </autoFilter>
  <sortState ref="A2:H48">
    <sortCondition ref="G2" descending="1"/>
  </sortState>
  <dataValidations count="1">
    <dataValidation type="list" sqref="H35 H46 H3:H10 H12:H28 H32:H33 H42:H43">
      <formula1>"销售新客,平台老客,公海池-无人跟踪,中台直客,产品直客"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B18" sqref="B18"/>
    </sheetView>
  </sheetViews>
  <sheetFormatPr defaultColWidth="8.72727272727273" defaultRowHeight="14" outlineLevelCol="1"/>
  <cols>
    <col min="1" max="1" width="13" customWidth="1"/>
    <col min="2" max="2" width="11.8181818181818" customWidth="1"/>
  </cols>
  <sheetData>
    <row r="1" spans="1:2">
      <c r="A1" s="1" t="s">
        <v>1</v>
      </c>
      <c r="B1" s="1" t="s">
        <v>870</v>
      </c>
    </row>
    <row r="2" outlineLevel="2" spans="1:2">
      <c r="A2" s="2">
        <v>14829</v>
      </c>
      <c r="B2" s="3">
        <v>268.8</v>
      </c>
    </row>
    <row r="3" outlineLevel="1" spans="1:2">
      <c r="A3" s="4" t="s">
        <v>871</v>
      </c>
      <c r="B3" s="3">
        <f>SUBTOTAL(9,B2)</f>
        <v>268.8</v>
      </c>
    </row>
    <row r="4" outlineLevel="2" spans="1:2">
      <c r="A4" s="1">
        <v>544</v>
      </c>
      <c r="B4" s="5">
        <v>13.44</v>
      </c>
    </row>
    <row r="5" outlineLevel="2" spans="1:2">
      <c r="A5" s="1">
        <v>544</v>
      </c>
      <c r="B5" s="5">
        <v>13.44</v>
      </c>
    </row>
    <row r="6" outlineLevel="1" spans="1:2">
      <c r="A6" s="6" t="s">
        <v>872</v>
      </c>
      <c r="B6" s="5">
        <f>SUBTOTAL(9,B4:B5)</f>
        <v>26.88</v>
      </c>
    </row>
    <row r="7" outlineLevel="2" spans="1:2">
      <c r="A7" s="1">
        <v>6159</v>
      </c>
      <c r="B7" s="7">
        <v>1222</v>
      </c>
    </row>
    <row r="8" outlineLevel="1" spans="1:2">
      <c r="A8" s="6" t="s">
        <v>873</v>
      </c>
      <c r="B8" s="7">
        <f>SUBTOTAL(9,B7)</f>
        <v>1222</v>
      </c>
    </row>
    <row r="9" outlineLevel="2" spans="1:2">
      <c r="A9" s="1">
        <v>14062</v>
      </c>
      <c r="B9" s="5">
        <v>0.01</v>
      </c>
    </row>
    <row r="10" outlineLevel="2" spans="1:2">
      <c r="A10" s="1">
        <v>14062</v>
      </c>
      <c r="B10" s="5">
        <v>0.02</v>
      </c>
    </row>
    <row r="11" outlineLevel="2" spans="1:2">
      <c r="A11" s="1">
        <v>14062</v>
      </c>
      <c r="B11" s="5">
        <v>0.02</v>
      </c>
    </row>
    <row r="12" outlineLevel="2" spans="1:2">
      <c r="A12" s="1">
        <v>14062</v>
      </c>
      <c r="B12" s="5">
        <v>0.02</v>
      </c>
    </row>
    <row r="13" outlineLevel="2" spans="1:2">
      <c r="A13" s="1">
        <v>14062</v>
      </c>
      <c r="B13" s="5">
        <v>0.01</v>
      </c>
    </row>
    <row r="14" outlineLevel="2" spans="1:2">
      <c r="A14" s="1">
        <v>14062</v>
      </c>
      <c r="B14" s="5">
        <v>0.01</v>
      </c>
    </row>
    <row r="15" outlineLevel="2" spans="1:2">
      <c r="A15" s="1">
        <v>14062</v>
      </c>
      <c r="B15" s="5">
        <v>0.01</v>
      </c>
    </row>
    <row r="16" outlineLevel="2" spans="1:2">
      <c r="A16" s="1">
        <v>14062</v>
      </c>
      <c r="B16" s="5">
        <v>0.01</v>
      </c>
    </row>
    <row r="17" outlineLevel="1" spans="1:2">
      <c r="A17" s="6" t="s">
        <v>874</v>
      </c>
      <c r="B17" s="5">
        <f>SUBTOTAL(9,B9:B16)</f>
        <v>0.11</v>
      </c>
    </row>
    <row r="18" spans="1:2">
      <c r="A18" s="6" t="s">
        <v>7</v>
      </c>
      <c r="B18" s="5">
        <f>SUBTOTAL(9,B2:B16)</f>
        <v>1517.79</v>
      </c>
    </row>
    <row r="19" spans="1:2">
      <c r="A19" s="1"/>
      <c r="B19" s="1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Sheet3</vt:lpstr>
      <vt:lpstr>C端用户汇总</vt:lpstr>
      <vt:lpstr>Sheet12</vt:lpstr>
      <vt:lpstr>查询结果</vt:lpstr>
      <vt:lpstr>Sheet7</vt:lpstr>
      <vt:lpstr>裸金属订单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快乐小猪</cp:lastModifiedBy>
  <dcterms:created xsi:type="dcterms:W3CDTF">2026-05-09T07:08:00Z</dcterms:created>
  <dcterms:modified xsi:type="dcterms:W3CDTF">2026-05-11T07:37:34Z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CalculationRule">
    <vt:i4>0</vt:i4>
  </property>
  <property fmtid="{D5CDD505-2E9C-101B-9397-08002B2CF9AE}" pid="4" name="ICV">
    <vt:lpwstr>A55C06A025704059825AFBBA2BB5F029_12</vt:lpwstr>
  </property>
</Properties>
</file>